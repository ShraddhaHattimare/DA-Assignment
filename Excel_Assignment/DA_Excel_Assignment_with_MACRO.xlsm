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166925"/>
  <mc:AlternateContent xmlns:mc="http://schemas.openxmlformats.org/markup-compatibility/2006">
    <mc:Choice Requires="x15">
      <x15ac:absPath xmlns:x15ac="http://schemas.microsoft.com/office/spreadsheetml/2010/11/ac" url="C:\Users\aasth\Desktop\DA_Excel\"/>
    </mc:Choice>
  </mc:AlternateContent>
  <xr:revisionPtr revIDLastSave="0" documentId="13_ncr:1_{51F9AF92-E57F-4A2D-8BFF-853E2FEA65EF}" xr6:coauthVersionLast="47" xr6:coauthVersionMax="47" xr10:uidLastSave="{00000000-0000-0000-0000-000000000000}"/>
  <bookViews>
    <workbookView xWindow="-108" yWindow="-108" windowWidth="23256" windowHeight="12456" firstSheet="22" activeTab="24" xr2:uid="{ADD551B1-3586-4BF9-ADCA-84C2A76AE8D0}"/>
  </bookViews>
  <sheets>
    <sheet name="Que_1" sheetId="1" r:id="rId1"/>
    <sheet name="Que_2" sheetId="2" r:id="rId2"/>
    <sheet name="Que_3&amp;4" sheetId="3" r:id="rId3"/>
    <sheet name="Que_5" sheetId="4" r:id="rId4"/>
    <sheet name="Que_6" sheetId="5" r:id="rId5"/>
    <sheet name="Que_7" sheetId="6" r:id="rId6"/>
    <sheet name="Que_8" sheetId="7" r:id="rId7"/>
    <sheet name="Que_9" sheetId="8" r:id="rId8"/>
    <sheet name="Que_10&amp;11" sheetId="9" r:id="rId9"/>
    <sheet name="Que_12" sheetId="10" r:id="rId10"/>
    <sheet name="Que_13" sheetId="11" r:id="rId11"/>
    <sheet name="Que_14" sheetId="12" r:id="rId12"/>
    <sheet name="Que_15" sheetId="13" r:id="rId13"/>
    <sheet name="Que_16" sheetId="14" r:id="rId14"/>
    <sheet name="Que_17" sheetId="15" r:id="rId15"/>
    <sheet name="Que_18" sheetId="16" r:id="rId16"/>
    <sheet name="Que_19&amp;20" sheetId="17" r:id="rId17"/>
    <sheet name="Que_21" sheetId="19" r:id="rId18"/>
    <sheet name="Que_22" sheetId="18" r:id="rId19"/>
    <sheet name="Que_23" sheetId="20" r:id="rId20"/>
    <sheet name="Que_24" sheetId="21" r:id="rId21"/>
    <sheet name="Que_25" sheetId="22" r:id="rId22"/>
    <sheet name="Que_26" sheetId="23" r:id="rId23"/>
    <sheet name="Que_27" sheetId="24" r:id="rId24"/>
    <sheet name="Que_30" sheetId="25" r:id="rId25"/>
    <sheet name="Que_31" sheetId="29" r:id="rId26"/>
  </sheets>
  <definedNames>
    <definedName name="ExternalData_1" localSheetId="23" hidden="1">Que_27!$B$10:$F$256</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7" i="29" l="1"/>
  <c r="H8" i="29"/>
  <c r="H9" i="29"/>
  <c r="H10" i="29"/>
  <c r="H11" i="29"/>
  <c r="H12" i="29"/>
  <c r="H13" i="29"/>
  <c r="H14" i="29"/>
  <c r="H15" i="29"/>
  <c r="H16" i="29"/>
  <c r="H17" i="29"/>
  <c r="H18" i="29"/>
  <c r="H19" i="29"/>
  <c r="H20" i="29"/>
  <c r="H21" i="29"/>
  <c r="H22" i="29"/>
  <c r="H23" i="29"/>
  <c r="H6" i="29"/>
  <c r="C31" i="23"/>
  <c r="A8" i="23"/>
  <c r="A9" i="23"/>
  <c r="A10" i="23"/>
  <c r="A11" i="23"/>
  <c r="A12" i="23"/>
  <c r="A13" i="23"/>
  <c r="A14" i="23"/>
  <c r="A15" i="23"/>
  <c r="A16" i="23"/>
  <c r="A7" i="23"/>
  <c r="B15" i="21"/>
  <c r="B14" i="21"/>
  <c r="B13" i="21"/>
  <c r="C27" i="23" l="1"/>
  <c r="C23" i="23"/>
  <c r="C35" i="22"/>
  <c r="C36" i="22"/>
  <c r="C34" i="22"/>
  <c r="C28" i="22"/>
  <c r="C29" i="22"/>
  <c r="C27" i="22"/>
  <c r="E20" i="22"/>
  <c r="E22" i="22"/>
  <c r="D32" i="20"/>
  <c r="D27" i="20"/>
  <c r="D22" i="20"/>
  <c r="I23" i="18"/>
  <c r="I22" i="18"/>
  <c r="I20" i="18"/>
  <c r="I18" i="18"/>
  <c r="I17" i="18"/>
  <c r="C21" i="19"/>
  <c r="C12" i="19"/>
  <c r="C9" i="19"/>
  <c r="C6" i="19"/>
  <c r="C22" i="19" s="1"/>
  <c r="C18" i="19"/>
  <c r="C15" i="19"/>
  <c r="C97" i="17"/>
  <c r="C20" i="16"/>
  <c r="D12" i="15"/>
  <c r="D13" i="15"/>
  <c r="D14" i="15"/>
  <c r="D11" i="15"/>
  <c r="D15" i="14"/>
  <c r="H14" i="13"/>
  <c r="H15" i="13"/>
  <c r="H16" i="13"/>
  <c r="H13" i="13"/>
  <c r="D16" i="12"/>
  <c r="D15" i="12"/>
  <c r="D14" i="12"/>
  <c r="E27" i="11"/>
  <c r="E26" i="11"/>
  <c r="E22" i="11"/>
  <c r="E21" i="11"/>
  <c r="E20" i="11"/>
  <c r="E16" i="11"/>
  <c r="E15" i="11"/>
  <c r="E14" i="11"/>
  <c r="E13" i="11"/>
  <c r="E14" i="10"/>
  <c r="E15" i="10"/>
  <c r="E16" i="10"/>
  <c r="E17" i="10"/>
  <c r="E18" i="10"/>
  <c r="E19" i="10"/>
  <c r="E13" i="10"/>
  <c r="G12" i="9"/>
  <c r="G13" i="9"/>
  <c r="G14" i="9"/>
  <c r="G15" i="9"/>
  <c r="G16" i="9"/>
  <c r="G17" i="9"/>
  <c r="G18" i="9"/>
  <c r="G11" i="9"/>
  <c r="F12" i="9"/>
  <c r="F13" i="9"/>
  <c r="F14" i="9"/>
  <c r="F15" i="9"/>
  <c r="F16" i="9"/>
  <c r="F17" i="9"/>
  <c r="F18" i="9"/>
  <c r="F11" i="9"/>
  <c r="E10" i="8"/>
  <c r="E11" i="8"/>
  <c r="E12" i="8"/>
  <c r="E9" i="8"/>
  <c r="D10" i="7"/>
  <c r="D11" i="7"/>
  <c r="D12" i="7"/>
  <c r="D9" i="7"/>
  <c r="C24" i="6"/>
  <c r="C19" i="6"/>
  <c r="C13" i="6"/>
  <c r="B26" i="5"/>
  <c r="B23" i="5"/>
  <c r="B29" i="5"/>
  <c r="B20" i="5"/>
  <c r="C17" i="3"/>
  <c r="C20" i="3"/>
  <c r="C29" i="4"/>
  <c r="C23" i="4"/>
  <c r="C27" i="2"/>
  <c r="C28" i="2"/>
  <c r="C22" i="2"/>
  <c r="C21" i="2"/>
  <c r="C20" i="2"/>
  <c r="D27" i="1"/>
  <c r="D25" i="1"/>
  <c r="D23" i="1"/>
  <c r="D21"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5AD072-BA8A-4632-9415-A07F850AD4E3}" keepAlive="1" name="Query - Populations" description="Connection to the 'Populations' query in the workbook." type="5" refreshedVersion="8" background="1" saveData="1">
    <dbPr connection="Provider=Microsoft.Mashup.OleDb.1;Data Source=$Workbook$;Location=Populations;Extended Properties=&quot;&quot;" command="SELECT * FROM [Populations]"/>
  </connection>
  <connection id="2" xr16:uid="{347A8725-31C9-422C-9A63-B29DC7670CB8}" keepAlive="1" name="Query - Que_30_CSV" description="Connection to the 'Que_30_CSV' query in the workbook." type="5" refreshedVersion="8" background="1" saveData="1">
    <dbPr connection="Provider=Microsoft.Mashup.OleDb.1;Data Source=$Workbook$;Location=Que_30_CSV;Extended Properties=&quot;&quot;" command="SELECT * FROM [Que_30_CSV]"/>
  </connection>
  <connection id="3" xr16:uid="{EA134487-F0D0-4790-9BB4-F88468C3F11D}" keepAlive="1" interval="1" name="Query - Que_30_CSV (2)" description="Connection to the 'Que_30_CSV (2)' query in the workbook." type="5" refreshedVersion="8" saveData="1">
    <dbPr connection="Provider=Microsoft.Mashup.OleDb.1;Data Source=$Workbook$;Location=&quot;Que_30_CSV (2)&quot;;Extended Properties=&quot;&quot;" command="SELECT * FROM [Que_30_CSV (2)]"/>
    <extLst>
      <ext xmlns:x15="http://schemas.microsoft.com/office/spreadsheetml/2010/11/main" uri="{DE250136-89BD-433C-8126-D09CA5730AF9}">
        <x15:connection id="" excludeFromRefreshAll="1"/>
      </ext>
    </extLst>
  </connection>
  <connection id="4" xr16:uid="{D6245FFF-55EB-4847-99ED-458D48D20EE0}" keepAlive="1" name="Query - Que_30_CSV (3)" description="Connection to the 'Que_30_CSV (3)' query in the workbook." type="5" refreshedVersion="8" background="1">
    <dbPr connection="Provider=Microsoft.Mashup.OleDb.1;Data Source=$Workbook$;Location=&quot;Que_30_CSV (3)&quot;;Extended Properties=&quot;&quot;" command="SELECT * FROM [Que_30_CSV (3)]"/>
  </connection>
  <connection id="5" xr16:uid="{5454D35B-5CC5-404F-B874-904241141FAD}" keepAlive="1" name="Query - Que_30_CSV (4)" description="Connection to the 'Que_30_CSV (4)' query in the workbook." type="5" refreshedVersion="8" background="1">
    <dbPr connection="Provider=Microsoft.Mashup.OleDb.1;Data Source=$Workbook$;Location=&quot;Que_30_CSV (4)&quot;;Extended Properties=&quot;&quot;" command="SELECT * FROM [Que_30_CSV (4)]"/>
  </connection>
  <connection id="6" xr16:uid="{FDE9C1C0-0CA7-4E93-BB98-DDEED768E62C}" keepAlive="1" name="Query - Que_31_CSV" description="Connection to the 'Que_31_CSV' query in the workbook." type="5" refreshedVersion="0" background="1">
    <dbPr connection="Provider=Microsoft.Mashup.OleDb.1;Data Source=$Workbook$;Location=Que_31_CSV;Extended Properties=&quot;&quot;" command="SELECT * FROM [Que_31_CSV]"/>
  </connection>
  <connection id="7" xr16:uid="{BC708ABE-3AF7-4332-9791-32B00D875E1E}" keepAlive="1" name="Query - Que_31_CSV (2)" description="Connection to the 'Que_31_CSV (2)' query in the workbook." type="5" refreshedVersion="8" background="1">
    <dbPr connection="Provider=Microsoft.Mashup.OleDb.1;Data Source=$Workbook$;Location=&quot;Que_31_CSV (2)&quot;;Extended Properties=&quot;&quot;" command="SELECT * FROM [Que_31_CSV (2)]"/>
  </connection>
  <connection id="8" xr16:uid="{7DAE3C66-C24E-4E84-AA68-957888821B98}" keepAlive="1" name="Query - Que_31_CSV (3)" description="Connection to the 'Que_31_CSV (3)' query in the workbook." type="5" refreshedVersion="8" background="1">
    <dbPr connection="Provider=Microsoft.Mashup.OleDb.1;Data Source=$Workbook$;Location=&quot;Que_31_CSV (3)&quot;;Extended Properties=&quot;&quot;" command="SELECT * FROM [Que_31_CSV (3)]"/>
  </connection>
</connections>
</file>

<file path=xl/sharedStrings.xml><?xml version="1.0" encoding="utf-8"?>
<sst xmlns="http://schemas.openxmlformats.org/spreadsheetml/2006/main" count="1196" uniqueCount="861">
  <si>
    <t>1) Use the average function and calculate the average of all the three category of weight. (for this question use excel file named average 1).</t>
  </si>
  <si>
    <t>Ans:</t>
  </si>
  <si>
    <t>Category</t>
  </si>
  <si>
    <t>Name</t>
  </si>
  <si>
    <t>Weight</t>
  </si>
  <si>
    <t>Light Weight</t>
  </si>
  <si>
    <t>A</t>
  </si>
  <si>
    <t>B</t>
  </si>
  <si>
    <t>C</t>
  </si>
  <si>
    <t>Medium Weight</t>
  </si>
  <si>
    <t>D</t>
  </si>
  <si>
    <t>E</t>
  </si>
  <si>
    <t>F</t>
  </si>
  <si>
    <t>Heavy Weight</t>
  </si>
  <si>
    <t>G</t>
  </si>
  <si>
    <t>H</t>
  </si>
  <si>
    <t>I</t>
  </si>
  <si>
    <t>Use only Average function for the following excercises</t>
  </si>
  <si>
    <t>Average Weight of "Light Weight" category</t>
  </si>
  <si>
    <t>Average Weight of "Medium Weight" category</t>
  </si>
  <si>
    <t>Average Weight of "Heavey Weight" category</t>
  </si>
  <si>
    <t xml:space="preserve">Average for all categories </t>
  </si>
  <si>
    <t xml:space="preserve"> </t>
  </si>
  <si>
    <t>2) The excel file named Average 3, the table below 
contains precipitation measurement as measured in
 the Rochester NY area last year and we sampled 3 
days in each of the first three months of 2018.
Complete all the question in the file given.</t>
  </si>
  <si>
    <t>Ans</t>
  </si>
  <si>
    <t>The Table below contains percipitation measurments as measured in the Rochester NY area last year.</t>
  </si>
  <si>
    <t>We sampled 3 days in each of the first three months of 2018:</t>
  </si>
  <si>
    <t>Sample</t>
  </si>
  <si>
    <t>Month</t>
  </si>
  <si>
    <t>Rainfall (mm)</t>
  </si>
  <si>
    <t>Sample 1</t>
  </si>
  <si>
    <t>Sample 2</t>
  </si>
  <si>
    <t>Sample 3</t>
  </si>
  <si>
    <t>Sample 4</t>
  </si>
  <si>
    <t>Sample 5</t>
  </si>
  <si>
    <t>Sample 6</t>
  </si>
  <si>
    <t>Sample 7</t>
  </si>
  <si>
    <t>Sample 8</t>
  </si>
  <si>
    <t>Sample 9</t>
  </si>
  <si>
    <t>What was the average precipitation for each month?</t>
  </si>
  <si>
    <t>Now, calculate the average of the following numbers only with formulas SUM and COUNT (don't use Average formula)</t>
  </si>
  <si>
    <t>What is the average of all of the samples?</t>
  </si>
  <si>
    <t>Now get the same result with Average function</t>
  </si>
  <si>
    <t>3) In excel file named Count 1, 
The table below shows survey responses;
 the respondents could use any value for
 their answers.</t>
  </si>
  <si>
    <t>The table below shows survey responses; the respondents could use any value for their answers.</t>
  </si>
  <si>
    <t>How many times do you eat breakfast in a week?</t>
  </si>
  <si>
    <t>Name:</t>
  </si>
  <si>
    <t>Answer</t>
  </si>
  <si>
    <t>Avery</t>
  </si>
  <si>
    <t>Ron</t>
  </si>
  <si>
    <t>Avi</t>
  </si>
  <si>
    <t>Ravi</t>
  </si>
  <si>
    <t>Ricky</t>
  </si>
  <si>
    <t>Three</t>
  </si>
  <si>
    <t>Nate</t>
  </si>
  <si>
    <t xml:space="preserve">I don't know </t>
  </si>
  <si>
    <t>David</t>
  </si>
  <si>
    <t>Solve by using COUNT and COUNTA formulas, and use only column B (Grey) to answer the questions:</t>
  </si>
  <si>
    <t>Question</t>
  </si>
  <si>
    <t>How many numerical (with numbers only) responses are in the range?</t>
  </si>
  <si>
    <t>How many responses in total are in the range?</t>
  </si>
  <si>
    <t>5) In excel file named COUNT 2, The following 
table represents a bank statement of ExcelMaster
 company. Column E shows the total dollar value
 amount of each of the accounts. 
Answer all the questions using COUNT and
 COUNTA function.</t>
  </si>
  <si>
    <t>The following table represents a bank statement of ExcelMaster company.</t>
  </si>
  <si>
    <t>Column E shows the total dollar value amount of each of the  accounts.</t>
  </si>
  <si>
    <t>Account Number</t>
  </si>
  <si>
    <t>Currency</t>
  </si>
  <si>
    <t>Amount</t>
  </si>
  <si>
    <t>USD - United States</t>
  </si>
  <si>
    <t>£ - United Kingdom</t>
  </si>
  <si>
    <t>Wine - Japan</t>
  </si>
  <si>
    <t>Error</t>
  </si>
  <si>
    <t>Euro - EMU</t>
  </si>
  <si>
    <t>Dollar - Australia</t>
  </si>
  <si>
    <t>USD - Canada</t>
  </si>
  <si>
    <t>Crown - Denmark</t>
  </si>
  <si>
    <t>Crown - Norway</t>
  </si>
  <si>
    <t>Rand - South Africa</t>
  </si>
  <si>
    <t>Crown - Sweden</t>
  </si>
  <si>
    <t>Frank - Switzerland</t>
  </si>
  <si>
    <t>Diner - Jordan banknotes</t>
  </si>
  <si>
    <t>Pound - Lebanese bills</t>
  </si>
  <si>
    <t>Pound - Egyptian banknotes</t>
  </si>
  <si>
    <t>Answer by using functions COUNT and COUNTA</t>
  </si>
  <si>
    <t>How many numerical answers appear in column C - Amount?</t>
  </si>
  <si>
    <t>COUNT returns the number of cells with a number.</t>
  </si>
  <si>
    <t>How many non-blank answers (numbers and letters) appear in column C?</t>
  </si>
  <si>
    <t xml:space="preserve">In excel file named COUNT 3, Solve all the question by using
formulas COUNT, COUNTA and COUNTBLANK: </t>
  </si>
  <si>
    <t>Answer using the following range:</t>
  </si>
  <si>
    <t>Orange</t>
  </si>
  <si>
    <t>L</t>
  </si>
  <si>
    <t>AAA</t>
  </si>
  <si>
    <t>Apple1234</t>
  </si>
  <si>
    <t>Solve by using formulas COUNT, COUNTA and COUNTBLANK:</t>
  </si>
  <si>
    <t>How many cells with a number value are in the grey range (cells B3 to B13)?</t>
  </si>
  <si>
    <t>How many empty cells are in the grey range?</t>
  </si>
  <si>
    <t>How many non number cells are in  the grey range?</t>
  </si>
  <si>
    <t>How many cells in total are in the range?</t>
  </si>
  <si>
    <t>7) In excel file named HLOOKUP, 
solve all the question using HLOOKUP only.</t>
  </si>
  <si>
    <t>Data</t>
  </si>
  <si>
    <t>Employee ID</t>
  </si>
  <si>
    <t>Employee Name</t>
  </si>
  <si>
    <t>John Doe</t>
  </si>
  <si>
    <t>Jane Smith</t>
  </si>
  <si>
    <t>Bob Johnson</t>
  </si>
  <si>
    <t>Sarah Lee</t>
  </si>
  <si>
    <t>Tom Davis</t>
  </si>
  <si>
    <t>Emily Brown</t>
  </si>
  <si>
    <t>Michael Wilson</t>
  </si>
  <si>
    <t>Jessica Davis</t>
  </si>
  <si>
    <t>David Martin</t>
  </si>
  <si>
    <t>Rachel Green</t>
  </si>
  <si>
    <t>Department</t>
  </si>
  <si>
    <t>HR</t>
  </si>
  <si>
    <t>Marketing</t>
  </si>
  <si>
    <t>IT</t>
  </si>
  <si>
    <t>Finance</t>
  </si>
  <si>
    <t>Salary</t>
  </si>
  <si>
    <t>Bonus</t>
  </si>
  <si>
    <t>Total Pay</t>
  </si>
  <si>
    <t>What is the department of employee with ID 102?</t>
  </si>
  <si>
    <t>Enter function here:</t>
  </si>
  <si>
    <t>What is the salary of employee with ID 105?</t>
  </si>
  <si>
    <t xml:space="preserve">What is the total pay of employee with ID 107? </t>
  </si>
  <si>
    <t xml:space="preserve"> In excel file named IF 1, Table A contains names and their respective
grades for Excel 101 Course. Complete column C using only IF
formula.</t>
  </si>
  <si>
    <t>Table A contains names and their respective grades for Excel 101 Course</t>
  </si>
  <si>
    <t>Complete column C using only IF formula</t>
  </si>
  <si>
    <t>Grade 60 or higher = Pass</t>
  </si>
  <si>
    <t>Grade less than 60 = Fail</t>
  </si>
  <si>
    <t>Grade</t>
  </si>
  <si>
    <t>Pass/Fail</t>
  </si>
  <si>
    <t>Adi</t>
  </si>
  <si>
    <t>Beni</t>
  </si>
  <si>
    <t>Charlie</t>
  </si>
  <si>
    <t>Dani</t>
  </si>
  <si>
    <t xml:space="preserve">9) In excel file named IF 2, The following table is an extract from an
accounting system that contains four journal entries. Check if column
A's cells match column B's cell. if they match - return "match",
otherwise return "no match". </t>
  </si>
  <si>
    <t>The following table is an extract from an accounting system that contains four journal entries</t>
  </si>
  <si>
    <t>Check if column A's cells match column B's cell</t>
  </si>
  <si>
    <t>if they match - return "match", otherwise return "no match"</t>
  </si>
  <si>
    <t>Debit</t>
  </si>
  <si>
    <t>Credit</t>
  </si>
  <si>
    <t>Same value?</t>
  </si>
  <si>
    <t>Journal Entry 1</t>
  </si>
  <si>
    <t>Journal Entry 2</t>
  </si>
  <si>
    <t>Journal Entry 3</t>
  </si>
  <si>
    <t>Journal Entry 4</t>
  </si>
  <si>
    <t>10) In excel file named IF 3, The table below contains details 
of high school student’s names and ages, use IF formula to 
complete columns D and E.If the student's age is 16
or above, he/she is eligible for a driver's license. 
Check if they are eligible or not. Answer in column D.</t>
  </si>
  <si>
    <t xml:space="preserve">	The table below contains details of high school students names and ages, use IF formula to complete columns D and E</t>
  </si>
  <si>
    <t>If the student's age is 16 or above, he/she is eligible for a driver's license. Check if they are eligible or not. Answer in column D</t>
  </si>
  <si>
    <t>If the student is younger than 18 years old he/she is a minor. Check whether the student is a minor or not. for Minor return "Minor" and non minor = "Adult" anwswer in column E</t>
  </si>
  <si>
    <t>Column D</t>
  </si>
  <si>
    <t>Column E</t>
  </si>
  <si>
    <t>Number</t>
  </si>
  <si>
    <t>Age</t>
  </si>
  <si>
    <t>Driver Licence</t>
  </si>
  <si>
    <t>Minor/Adult?</t>
  </si>
  <si>
    <t>Arik</t>
  </si>
  <si>
    <t>Ben</t>
  </si>
  <si>
    <t>Cermit</t>
  </si>
  <si>
    <t>Dan</t>
  </si>
  <si>
    <t>Eliko</t>
  </si>
  <si>
    <t>Fage</t>
  </si>
  <si>
    <t>George</t>
  </si>
  <si>
    <t>Herzl</t>
  </si>
  <si>
    <t>12) In excel file named IF 4, 
An A+ student gets 100% scholarship and non A+ gets 50% scholarship, 
the following table contains the names of students from 2024 class. 
Use IF function to calculate the scholarships' amounts each of them will get.</t>
  </si>
  <si>
    <t>An A+ student gets 100% scholarship and non A+ gets 50% scholarship as shown in the table below:</t>
  </si>
  <si>
    <t>A+</t>
  </si>
  <si>
    <t>A-</t>
  </si>
  <si>
    <t>The following table contains the names of students from 2024 class.</t>
  </si>
  <si>
    <t>Use IF function to calculate the scholarships' amounts each of them will get</t>
  </si>
  <si>
    <t>GPA</t>
  </si>
  <si>
    <t>Tuition</t>
  </si>
  <si>
    <t>Scholarship</t>
  </si>
  <si>
    <t>Sam</t>
  </si>
  <si>
    <t>Ari</t>
  </si>
  <si>
    <t>Xena</t>
  </si>
  <si>
    <t>Gabe</t>
  </si>
  <si>
    <t>Daniela</t>
  </si>
  <si>
    <t>Rotem</t>
  </si>
  <si>
    <t xml:space="preserve">13)In excel file named Math 1, Use the following guidelines to
calculate the statements given the file. </t>
  </si>
  <si>
    <t>In this module, we will focus on learning  how to make basic arithmetic operations using excel</t>
  </si>
  <si>
    <t>Use the following guidelines to calculate the statements below:</t>
  </si>
  <si>
    <t>=</t>
  </si>
  <si>
    <t>equals, use = sign before the formula to calculate a formula</t>
  </si>
  <si>
    <t>+</t>
  </si>
  <si>
    <t>plus</t>
  </si>
  <si>
    <t>-</t>
  </si>
  <si>
    <t>minus</t>
  </si>
  <si>
    <t>/</t>
  </si>
  <si>
    <t>divide</t>
  </si>
  <si>
    <t>*</t>
  </si>
  <si>
    <t>multiply</t>
  </si>
  <si>
    <t>%</t>
  </si>
  <si>
    <t>percentage sign (will divide the number by 100 if added after a value)</t>
  </si>
  <si>
    <t>Arithmertics</t>
  </si>
  <si>
    <t>Plus</t>
  </si>
  <si>
    <t>Minus</t>
  </si>
  <si>
    <t>Times</t>
  </si>
  <si>
    <t>Divided by</t>
  </si>
  <si>
    <t>Percentages using division of numbers</t>
  </si>
  <si>
    <t>Out of</t>
  </si>
  <si>
    <t>Calculate percentage of change</t>
  </si>
  <si>
    <t>Stock</t>
  </si>
  <si>
    <t>Price 2015</t>
  </si>
  <si>
    <t>Price 2016</t>
  </si>
  <si>
    <t>Year over Year % change</t>
  </si>
  <si>
    <t>Stock A</t>
  </si>
  <si>
    <t>Stock B</t>
  </si>
  <si>
    <t>14) In excel file named MAX MIN 1, 
Use max, min and average formulas to answer 
all the following questions given in the file.</t>
  </si>
  <si>
    <t>MAX, MIN and Average</t>
  </si>
  <si>
    <t>Sumo wrestlers contest - Names and Weights</t>
  </si>
  <si>
    <t>Use max, min and average formulas to answer the following questions.</t>
  </si>
  <si>
    <t>Ishaymoto</t>
  </si>
  <si>
    <t>Solomoto</t>
  </si>
  <si>
    <t>Greenko</t>
  </si>
  <si>
    <t>Dinamito</t>
  </si>
  <si>
    <t>Shlomtzi</t>
  </si>
  <si>
    <t>Oveidyudo</t>
  </si>
  <si>
    <t>What is the maximum weight of a wrestler?</t>
  </si>
  <si>
    <t>What is the minimum weight of a wrestler?</t>
  </si>
  <si>
    <t>What is the average between the maximum and the minimum? (mid range)</t>
  </si>
  <si>
    <t>15) In the file named MAX MIN 2, The following table contains details 
about the scores of 4 students in a driving theory test.
 If a student fails at least one test - she or he needs to retake the course. 
Use IF and MAX/MIN to check if a student passed the test.</t>
  </si>
  <si>
    <t>The following table contains details about the scores of 4 students in a driving theory test. If a student fails at least one test - she or he needs to retake the course.</t>
  </si>
  <si>
    <t>Use IF and MAX/MIN to check if a student passed the test</t>
  </si>
  <si>
    <t>1. if the lowest score is lower than 50 - return "fail"</t>
  </si>
  <si>
    <t>2. else - return "pass"</t>
  </si>
  <si>
    <t>Test 1</t>
  </si>
  <si>
    <t>Test 2</t>
  </si>
  <si>
    <t>Test 3</t>
  </si>
  <si>
    <t>Test 4</t>
  </si>
  <si>
    <t>Johnny</t>
  </si>
  <si>
    <t>Georgy</t>
  </si>
  <si>
    <t>Ofri</t>
  </si>
  <si>
    <t>16) In the file named MAX MIN 3, 
IF at least one student got 99 points or more in a test 
- the test considered easy, Use MAX and IF to 
create a logic that checks if the test was "Easy" or not.</t>
  </si>
  <si>
    <t xml:space="preserve">IF at least one student got 99 points or more in a test - the test considered easy, </t>
  </si>
  <si>
    <t>Use MAX and IF to create a logic that checks if the test was "Easy" or not</t>
  </si>
  <si>
    <t>Johny</t>
  </si>
  <si>
    <t>Lev</t>
  </si>
  <si>
    <t>Yoav</t>
  </si>
  <si>
    <t>Chen</t>
  </si>
  <si>
    <t>17) In the file named Nested IF 1, The school decided 
to use the following grade system: 
a. Grade higher or equal to 80 - Excellent
 b. Grade higher or equal to 60 but lower than 80 – Good c. Grade lower than 60 - Failed Complete all the task given in the file.</t>
  </si>
  <si>
    <t>The school decided to use the following grade system:</t>
  </si>
  <si>
    <t>Grade higher or equal to 80 - Excellent</t>
  </si>
  <si>
    <t>Grade higher or equal to 60 but lower than 80 - Good</t>
  </si>
  <si>
    <t>Grade lower than 60 - Failed</t>
  </si>
  <si>
    <t>Complete the following:</t>
  </si>
  <si>
    <t>Student name</t>
  </si>
  <si>
    <t>Failed/Good/Excellent</t>
  </si>
  <si>
    <t>John</t>
  </si>
  <si>
    <t>Sarah</t>
  </si>
  <si>
    <t>Michael</t>
  </si>
  <si>
    <t>Deborah</t>
  </si>
  <si>
    <t>18) In the file named SUM 1, The following table includes
 ABC company's revenue by month. The company's CFO asked 
you to use SUM formula to calculate the total revenue for the year.</t>
  </si>
  <si>
    <t xml:space="preserve">19) In the file named SUM 2, The following table represents daily costs
by </t>
  </si>
  <si>
    <t>The following table includes ABC company's revenue by month.</t>
  </si>
  <si>
    <t>The company's CFO asked you to use SUM formula to calculate the total revenue for the year.</t>
  </si>
  <si>
    <t>Revenue in $MM</t>
  </si>
  <si>
    <t>January</t>
  </si>
  <si>
    <t>February</t>
  </si>
  <si>
    <t>March</t>
  </si>
  <si>
    <t>April</t>
  </si>
  <si>
    <t>May</t>
  </si>
  <si>
    <t>June</t>
  </si>
  <si>
    <t>July</t>
  </si>
  <si>
    <t>August</t>
  </si>
  <si>
    <t>September</t>
  </si>
  <si>
    <t>October</t>
  </si>
  <si>
    <t>November</t>
  </si>
  <si>
    <t>December</t>
  </si>
  <si>
    <t>Total Year</t>
  </si>
  <si>
    <t>&lt;&lt;Enter value here</t>
  </si>
  <si>
    <t>The following table represents daily costs by day for the first quarter of 2015</t>
  </si>
  <si>
    <t>Calculate the total costs at the bottom of the table. Hint: to save time, use sum shortcuts.</t>
  </si>
  <si>
    <t>Date</t>
  </si>
  <si>
    <t>Costs</t>
  </si>
  <si>
    <t xml:space="preserve">21) In the file named SUM 3, Find the number of residents for each of the
following groups from the table below, complete all the question in
the file. </t>
  </si>
  <si>
    <t>Find the number of residents for each of the following groups from the table below:</t>
  </si>
  <si>
    <t>Age group</t>
  </si>
  <si>
    <t>0-19</t>
  </si>
  <si>
    <t>Number of residents</t>
  </si>
  <si>
    <t>25-49</t>
  </si>
  <si>
    <t>50-75+</t>
  </si>
  <si>
    <t>What is the total number of residents in region 3 (green) for all group ages?</t>
  </si>
  <si>
    <t>What is the total number of users in regions 1-20 for all groups?</t>
  </si>
  <si>
    <t>Total number of residents of ages 0-19 and 50-75+</t>
  </si>
  <si>
    <t>Option 1:</t>
  </si>
  <si>
    <t>Option 2:</t>
  </si>
  <si>
    <t>City</t>
  </si>
  <si>
    <t>Region</t>
  </si>
  <si>
    <t>Tel Aviv</t>
  </si>
  <si>
    <t>Region 1</t>
  </si>
  <si>
    <t>Region 2</t>
  </si>
  <si>
    <t>Region 3</t>
  </si>
  <si>
    <t>Region 4</t>
  </si>
  <si>
    <t>Region 5</t>
  </si>
  <si>
    <t>Region 6</t>
  </si>
  <si>
    <t>Region 7</t>
  </si>
  <si>
    <t>Region 8</t>
  </si>
  <si>
    <t>Region 9</t>
  </si>
  <si>
    <t>Region 10</t>
  </si>
  <si>
    <t>Region 11</t>
  </si>
  <si>
    <t>Region 12</t>
  </si>
  <si>
    <t>Region 13</t>
  </si>
  <si>
    <t>Region 14</t>
  </si>
  <si>
    <t>Region 15</t>
  </si>
  <si>
    <t>Region 16</t>
  </si>
  <si>
    <t>Region 17</t>
  </si>
  <si>
    <t>Region 18</t>
  </si>
  <si>
    <t>Region 19</t>
  </si>
  <si>
    <t>Region 20</t>
  </si>
  <si>
    <t>Region 21</t>
  </si>
  <si>
    <t>Region 22</t>
  </si>
  <si>
    <t>Region 23</t>
  </si>
  <si>
    <t>Region 24</t>
  </si>
  <si>
    <t>Region 25</t>
  </si>
  <si>
    <t>Region 26</t>
  </si>
  <si>
    <t>Region 27</t>
  </si>
  <si>
    <t>Region 28</t>
  </si>
  <si>
    <t>Region 29</t>
  </si>
  <si>
    <t>Region 30</t>
  </si>
  <si>
    <t>Region 31</t>
  </si>
  <si>
    <t>Region 32</t>
  </si>
  <si>
    <t>Region 33</t>
  </si>
  <si>
    <t>Region 34</t>
  </si>
  <si>
    <t>Region 35</t>
  </si>
  <si>
    <t>Region 36</t>
  </si>
  <si>
    <t>Region 37</t>
  </si>
  <si>
    <t>Region 38</t>
  </si>
  <si>
    <t>Region 39</t>
  </si>
  <si>
    <t>Region 40</t>
  </si>
  <si>
    <t>Region 41</t>
  </si>
  <si>
    <t>Region 42</t>
  </si>
  <si>
    <t>Region 43</t>
  </si>
  <si>
    <t>Region 44</t>
  </si>
  <si>
    <t>Region 45</t>
  </si>
  <si>
    <t>Region 46</t>
  </si>
  <si>
    <t>Region 47</t>
  </si>
  <si>
    <t>Region 48</t>
  </si>
  <si>
    <t>Region 49</t>
  </si>
  <si>
    <t>Region 50</t>
  </si>
  <si>
    <t>Region 51</t>
  </si>
  <si>
    <t>Region 52</t>
  </si>
  <si>
    <t>Region 53</t>
  </si>
  <si>
    <t>Region 54</t>
  </si>
  <si>
    <t>Region 55</t>
  </si>
  <si>
    <t>Region 56</t>
  </si>
  <si>
    <t>Region 57</t>
  </si>
  <si>
    <t>Region 58</t>
  </si>
  <si>
    <t>Region 59</t>
  </si>
  <si>
    <t>Region 60</t>
  </si>
  <si>
    <t>Region 61</t>
  </si>
  <si>
    <t>Region 62</t>
  </si>
  <si>
    <t>Region 63</t>
  </si>
  <si>
    <t>Region 64</t>
  </si>
  <si>
    <t>Region 65</t>
  </si>
  <si>
    <t>Region 66</t>
  </si>
  <si>
    <t>Region 67</t>
  </si>
  <si>
    <t>Region 68</t>
  </si>
  <si>
    <t>Region 69</t>
  </si>
  <si>
    <t>Region 70</t>
  </si>
  <si>
    <t>Region 71</t>
  </si>
  <si>
    <t>Region 72</t>
  </si>
  <si>
    <t>Region 73</t>
  </si>
  <si>
    <t>Region 74</t>
  </si>
  <si>
    <t>Region 75</t>
  </si>
  <si>
    <t>Region 76</t>
  </si>
  <si>
    <t>Region 77</t>
  </si>
  <si>
    <t>Region 78</t>
  </si>
  <si>
    <t>Region 79</t>
  </si>
  <si>
    <t>Region 80</t>
  </si>
  <si>
    <t>Region 81</t>
  </si>
  <si>
    <t>Region 82</t>
  </si>
  <si>
    <t>Region 83</t>
  </si>
  <si>
    <t>Region 84</t>
  </si>
  <si>
    <t>Region 85</t>
  </si>
  <si>
    <t>Region 86</t>
  </si>
  <si>
    <t>Region 87</t>
  </si>
  <si>
    <t>Region 88</t>
  </si>
  <si>
    <t>Region 89</t>
  </si>
  <si>
    <t>Region 90</t>
  </si>
  <si>
    <t>Region 91</t>
  </si>
  <si>
    <t>Region 92</t>
  </si>
  <si>
    <t>Region 93</t>
  </si>
  <si>
    <t>Region 94</t>
  </si>
  <si>
    <t>Region 95</t>
  </si>
  <si>
    <t>Region 96</t>
  </si>
  <si>
    <t>Region 97</t>
  </si>
  <si>
    <t>Region 98</t>
  </si>
  <si>
    <t>Region 99</t>
  </si>
  <si>
    <t>Region 100</t>
  </si>
  <si>
    <t>Region 101</t>
  </si>
  <si>
    <t>Region 102</t>
  </si>
  <si>
    <t>Region 103</t>
  </si>
  <si>
    <t>Region 104</t>
  </si>
  <si>
    <t>Region 105</t>
  </si>
  <si>
    <t>Region 106</t>
  </si>
  <si>
    <t>Region 107</t>
  </si>
  <si>
    <t>Region 108</t>
  </si>
  <si>
    <t>Region 109</t>
  </si>
  <si>
    <t>Region 110</t>
  </si>
  <si>
    <t>Region 111</t>
  </si>
  <si>
    <t>Region 112</t>
  </si>
  <si>
    <t>Region 113</t>
  </si>
  <si>
    <t>Region 114</t>
  </si>
  <si>
    <t>Region 115</t>
  </si>
  <si>
    <t>Region 116</t>
  </si>
  <si>
    <t>Region 117</t>
  </si>
  <si>
    <t>Region 118</t>
  </si>
  <si>
    <t>Region 119</t>
  </si>
  <si>
    <t>Region 120</t>
  </si>
  <si>
    <t>Region 121</t>
  </si>
  <si>
    <t>Region 122</t>
  </si>
  <si>
    <t>Region 123</t>
  </si>
  <si>
    <t>Region 124</t>
  </si>
  <si>
    <t>Region 125</t>
  </si>
  <si>
    <t>Region 126</t>
  </si>
  <si>
    <t>Region 127</t>
  </si>
  <si>
    <t>Region 128</t>
  </si>
  <si>
    <t>Region 129</t>
  </si>
  <si>
    <t>Region 130</t>
  </si>
  <si>
    <t>Region 131</t>
  </si>
  <si>
    <t>Region 132</t>
  </si>
  <si>
    <t>Region 133</t>
  </si>
  <si>
    <t>Region 134</t>
  </si>
  <si>
    <t>Region 135</t>
  </si>
  <si>
    <t>Region 136</t>
  </si>
  <si>
    <t>Region 137</t>
  </si>
  <si>
    <t>Region 138</t>
  </si>
  <si>
    <t>Region 139</t>
  </si>
  <si>
    <t>Region 140</t>
  </si>
  <si>
    <t>Region 141</t>
  </si>
  <si>
    <t>Region 142</t>
  </si>
  <si>
    <t>Region 143</t>
  </si>
  <si>
    <t>Region 144</t>
  </si>
  <si>
    <t>Region 145</t>
  </si>
  <si>
    <t>Region 146</t>
  </si>
  <si>
    <t>Region 147</t>
  </si>
  <si>
    <t>Region 148</t>
  </si>
  <si>
    <t>Region 149</t>
  </si>
  <si>
    <t>Region 150</t>
  </si>
  <si>
    <t>Region 151</t>
  </si>
  <si>
    <t>Region 152</t>
  </si>
  <si>
    <t>Region 153</t>
  </si>
  <si>
    <t>Region 154</t>
  </si>
  <si>
    <t>Region 155</t>
  </si>
  <si>
    <t>Region 156</t>
  </si>
  <si>
    <t>Region 157</t>
  </si>
  <si>
    <t>Region 158</t>
  </si>
  <si>
    <t>Client #</t>
  </si>
  <si>
    <t>Balance</t>
  </si>
  <si>
    <t>VIP Account?</t>
  </si>
  <si>
    <t>Total commisions</t>
  </si>
  <si>
    <t>Yes</t>
  </si>
  <si>
    <t>No</t>
  </si>
  <si>
    <t>SUMIF</t>
  </si>
  <si>
    <t>What is the total amout of money in VIP Accounts?</t>
  </si>
  <si>
    <t>What is the total amout of money in Non-VIP Accounts?</t>
  </si>
  <si>
    <t>What is the total amount of commisions from accounts that are over $10,000?</t>
  </si>
  <si>
    <t>What is the total amout of money in accounts over $10,000?</t>
  </si>
  <si>
    <t>What is the total amout of money in accounts under $9,500?</t>
  </si>
  <si>
    <t>22) In the file named SUMIF 1, 
answer all the question given in the file.</t>
  </si>
  <si>
    <t>Data - SUMIF</t>
  </si>
  <si>
    <t>Sport</t>
  </si>
  <si>
    <t>Country</t>
  </si>
  <si>
    <t>Medals Won</t>
  </si>
  <si>
    <t>Michael Phelps</t>
  </si>
  <si>
    <t>Swimming</t>
  </si>
  <si>
    <t>USA</t>
  </si>
  <si>
    <t>Usain Bolt</t>
  </si>
  <si>
    <t>Athletics</t>
  </si>
  <si>
    <t>Jamaica</t>
  </si>
  <si>
    <t>Simone Biles</t>
  </si>
  <si>
    <t>Gymnastics</t>
  </si>
  <si>
    <t>Katarina Witt</t>
  </si>
  <si>
    <t>Figure Skating</t>
  </si>
  <si>
    <t>Germany</t>
  </si>
  <si>
    <t>Nadia Comaneci</t>
  </si>
  <si>
    <t>Romania</t>
  </si>
  <si>
    <t>Carl Lewis</t>
  </si>
  <si>
    <t>Larisa Latynina</t>
  </si>
  <si>
    <t>USSR</t>
  </si>
  <si>
    <t>Mark Spitz</t>
  </si>
  <si>
    <t>Sonja Henie</t>
  </si>
  <si>
    <t>Norway</t>
  </si>
  <si>
    <t>Yelena Isinbayeva</t>
  </si>
  <si>
    <t>Russia</t>
  </si>
  <si>
    <t>Questions</t>
  </si>
  <si>
    <t>See Answers Tab</t>
  </si>
  <si>
    <t>What is the total number of medals won by athletes from USA?</t>
  </si>
  <si>
    <t>Result:</t>
  </si>
  <si>
    <t>What is the total number of medals won by figure skaters?</t>
  </si>
  <si>
    <t>What is the total number of medals won by both USA and Jamaica? (Hard)</t>
  </si>
  <si>
    <t xml:space="preserve">23) In the file named SUMIF 2, </t>
  </si>
  <si>
    <t xml:space="preserve">answer all the question given in </t>
  </si>
  <si>
    <t>the file based on table.</t>
  </si>
  <si>
    <t xml:space="preserve">24) In the file named VLOOKUP APPROXIMATE MATCH, Retrieve
the GBP: USD exchange rate for the following dates using VLOOKUP
function, from the table in columns G-H. In case there is no exchange
rate for a certain date entry, return the the last known rate for that day. </t>
  </si>
  <si>
    <t>Retrieve the GBP:USD exchange rate for the following dates using VLOOKUP function, from the table in columns G-H.</t>
  </si>
  <si>
    <t>In case there is no exchange rate for a certain date entry, return the the last known rate for that day.</t>
  </si>
  <si>
    <t>GBP:USD Exchange rates:</t>
  </si>
  <si>
    <t>Exchange Rate</t>
  </si>
  <si>
    <t>25) In the file named VLOOKUP 1, Below is a list of the employees
 who Page 4 of 28 work in your company: 
Answer all the question given in the file using vlookup function.</t>
  </si>
  <si>
    <t>Below is a list of the employees who work in your company:</t>
  </si>
  <si>
    <t>Location</t>
  </si>
  <si>
    <t>Garry Manship</t>
  </si>
  <si>
    <t>Hong Kong</t>
  </si>
  <si>
    <t>William Johnson</t>
  </si>
  <si>
    <t>Berlin</t>
  </si>
  <si>
    <t>Thomas Bettle</t>
  </si>
  <si>
    <t>Bangkok</t>
  </si>
  <si>
    <t>Ian Nash</t>
  </si>
  <si>
    <t>Cairo</t>
  </si>
  <si>
    <t>Margaret Turley</t>
  </si>
  <si>
    <t>Shanghai</t>
  </si>
  <si>
    <t>Michael Kaye</t>
  </si>
  <si>
    <t>Capetown</t>
  </si>
  <si>
    <t>Paul Bell</t>
  </si>
  <si>
    <t>Thomas Davies</t>
  </si>
  <si>
    <t>Eric Green</t>
  </si>
  <si>
    <t>Warsaw</t>
  </si>
  <si>
    <t>Williamr Black</t>
  </si>
  <si>
    <t>Estelle Cormack</t>
  </si>
  <si>
    <t>Christopher Fallon</t>
  </si>
  <si>
    <t>Delhi</t>
  </si>
  <si>
    <t>What is the name of Employee ID 58369?</t>
  </si>
  <si>
    <t>What's the age of Estelle Cormack?</t>
  </si>
  <si>
    <t>Return the Location of the following employees:</t>
  </si>
  <si>
    <t>Find the Salary of the following employees:</t>
  </si>
  <si>
    <t>Johnny Slash</t>
  </si>
  <si>
    <t xml:space="preserve">26)In the file named VLOOKUP 2a, according to the table, answer all
the question given in the file using vlookup. </t>
  </si>
  <si>
    <t>VLOOKUP Exercise - Data:</t>
  </si>
  <si>
    <t>Gender</t>
  </si>
  <si>
    <t>Occupation</t>
  </si>
  <si>
    <t>John Smith</t>
  </si>
  <si>
    <t>Male</t>
  </si>
  <si>
    <t>Software Eng</t>
  </si>
  <si>
    <t>Jane Doe</t>
  </si>
  <si>
    <t>Female</t>
  </si>
  <si>
    <t>Data Scientist</t>
  </si>
  <si>
    <t>Accountant</t>
  </si>
  <si>
    <t>Emily Chen</t>
  </si>
  <si>
    <t>Sam Lee</t>
  </si>
  <si>
    <t>Alice Kim</t>
  </si>
  <si>
    <t>Sales</t>
  </si>
  <si>
    <t>Yoav Ishay</t>
  </si>
  <si>
    <t>Lawyer</t>
  </si>
  <si>
    <t>Sue Kim</t>
  </si>
  <si>
    <t>Doctor</t>
  </si>
  <si>
    <t>Mike Lee</t>
  </si>
  <si>
    <t>CEO</t>
  </si>
  <si>
    <t>Lily Chen</t>
  </si>
  <si>
    <t>Engineer</t>
  </si>
  <si>
    <t>s</t>
  </si>
  <si>
    <t>Create a VLOOKUP formula to find the occupation of Jane Doe.</t>
  </si>
  <si>
    <t>Create a VLOOKUP formula to find the age of Mike Lee.</t>
  </si>
  <si>
    <t>Create a VLOOKUP formula to find the occupation of a person whose name starts with "B" (Challenging!)</t>
  </si>
  <si>
    <t>27)In Excel file first exercise, for a table of populations, 
change data types and make other changes in Power Query. 
Do the following things to make this table easier to read: 
 a. Tell Power Query to use the first row as column headings.
 b. Delete the Source column (we don't need it). 
 c. Change the data type of the Date column to Date.
 d. Change the data type of the Population column to Whole Number.
 e. Shorten the name of the Country column.
 f. And make other changes if needed to read data properly.</t>
  </si>
  <si>
    <t>Helper</t>
  </si>
  <si>
    <t>1</t>
  </si>
  <si>
    <t>China</t>
  </si>
  <si>
    <t>1368570000</t>
  </si>
  <si>
    <t>March 6, 2015</t>
  </si>
  <si>
    <t>0.189</t>
  </si>
  <si>
    <t>Indi</t>
  </si>
  <si>
    <t>Unit</t>
  </si>
  <si>
    <t>Indo</t>
  </si>
  <si>
    <t>Braz</t>
  </si>
  <si>
    <t>Paki</t>
  </si>
  <si>
    <t>Nige</t>
  </si>
  <si>
    <t>Bang</t>
  </si>
  <si>
    <t>Russ</t>
  </si>
  <si>
    <t>Japa</t>
  </si>
  <si>
    <t>Mexi</t>
  </si>
  <si>
    <t>Phil</t>
  </si>
  <si>
    <t>Viet</t>
  </si>
  <si>
    <t>Ethi</t>
  </si>
  <si>
    <t>Egyp</t>
  </si>
  <si>
    <t>Germ</t>
  </si>
  <si>
    <t>Iran</t>
  </si>
  <si>
    <t>Turk</t>
  </si>
  <si>
    <t>Demo</t>
  </si>
  <si>
    <t>Fran</t>
  </si>
  <si>
    <t>Thai</t>
  </si>
  <si>
    <t>Ital</t>
  </si>
  <si>
    <t>Sout</t>
  </si>
  <si>
    <t>Burm</t>
  </si>
  <si>
    <t>Colo</t>
  </si>
  <si>
    <t>Tanz</t>
  </si>
  <si>
    <t>Keny</t>
  </si>
  <si>
    <t>Spai</t>
  </si>
  <si>
    <t>Arge</t>
  </si>
  <si>
    <t>Ukra</t>
  </si>
  <si>
    <t>Alge</t>
  </si>
  <si>
    <t>Pola</t>
  </si>
  <si>
    <t>Suda</t>
  </si>
  <si>
    <t>Iraq</t>
  </si>
  <si>
    <t>Cana</t>
  </si>
  <si>
    <t>Ugan</t>
  </si>
  <si>
    <t>Moro</t>
  </si>
  <si>
    <t>Saud</t>
  </si>
  <si>
    <t>Peru</t>
  </si>
  <si>
    <t>Vene</t>
  </si>
  <si>
    <t>Mala</t>
  </si>
  <si>
    <t>Uzbe</t>
  </si>
  <si>
    <t>Nepa</t>
  </si>
  <si>
    <t>Ghan</t>
  </si>
  <si>
    <t>Afgh</t>
  </si>
  <si>
    <t>Yeme</t>
  </si>
  <si>
    <t>Moza</t>
  </si>
  <si>
    <t>Nort</t>
  </si>
  <si>
    <t>Ango</t>
  </si>
  <si>
    <t>Aust</t>
  </si>
  <si>
    <t>Taiw</t>
  </si>
  <si>
    <t>Syri</t>
  </si>
  <si>
    <t>Ivor</t>
  </si>
  <si>
    <t>Mada</t>
  </si>
  <si>
    <t>Came</t>
  </si>
  <si>
    <t xml:space="preserve">Sri </t>
  </si>
  <si>
    <t>Roma</t>
  </si>
  <si>
    <t>Burk</t>
  </si>
  <si>
    <t>Chil</t>
  </si>
  <si>
    <t>Kaza</t>
  </si>
  <si>
    <t>Neth</t>
  </si>
  <si>
    <t>Mali</t>
  </si>
  <si>
    <t>Ecua</t>
  </si>
  <si>
    <t>Guat</t>
  </si>
  <si>
    <t>Zamb</t>
  </si>
  <si>
    <t>Camb</t>
  </si>
  <si>
    <t>Chad</t>
  </si>
  <si>
    <t>Sene</t>
  </si>
  <si>
    <t>Zimb</t>
  </si>
  <si>
    <t>Boli</t>
  </si>
  <si>
    <t>Belg</t>
  </si>
  <si>
    <t>Cuba</t>
  </si>
  <si>
    <t>Soma</t>
  </si>
  <si>
    <t>Rwan</t>
  </si>
  <si>
    <t>Gree</t>
  </si>
  <si>
    <t>Tuni</t>
  </si>
  <si>
    <t>Hait</t>
  </si>
  <si>
    <t>Guin</t>
  </si>
  <si>
    <t>Czec</t>
  </si>
  <si>
    <t>Port</t>
  </si>
  <si>
    <t>Domi</t>
  </si>
  <si>
    <t>Hung</t>
  </si>
  <si>
    <t>Buru</t>
  </si>
  <si>
    <t>Swed</t>
  </si>
  <si>
    <t>Azer</t>
  </si>
  <si>
    <t>Bela</t>
  </si>
  <si>
    <t>Hond</t>
  </si>
  <si>
    <t>Taji</t>
  </si>
  <si>
    <t>Isra</t>
  </si>
  <si>
    <t>Swit</t>
  </si>
  <si>
    <t>Papu</t>
  </si>
  <si>
    <t>Hong</t>
  </si>
  <si>
    <t>Bulg</t>
  </si>
  <si>
    <t>Togo</t>
  </si>
  <si>
    <t>Serb</t>
  </si>
  <si>
    <t>Para</t>
  </si>
  <si>
    <t>Laos</t>
  </si>
  <si>
    <t>Erit</t>
  </si>
  <si>
    <t>Jord</t>
  </si>
  <si>
    <t>El S</t>
  </si>
  <si>
    <t>Sier</t>
  </si>
  <si>
    <t>Liby</t>
  </si>
  <si>
    <t>Nica</t>
  </si>
  <si>
    <t>Kyrg</t>
  </si>
  <si>
    <t>Denm</t>
  </si>
  <si>
    <t>Finl</t>
  </si>
  <si>
    <t>Sing</t>
  </si>
  <si>
    <t>Slov</t>
  </si>
  <si>
    <t>Norw</t>
  </si>
  <si>
    <t>Cent</t>
  </si>
  <si>
    <t>Cost</t>
  </si>
  <si>
    <t>Repu</t>
  </si>
  <si>
    <t>Irel</t>
  </si>
  <si>
    <t xml:space="preserve">New </t>
  </si>
  <si>
    <t>Pale</t>
  </si>
  <si>
    <t>Libe</t>
  </si>
  <si>
    <t>Geor</t>
  </si>
  <si>
    <t>Croa</t>
  </si>
  <si>
    <t>Oman</t>
  </si>
  <si>
    <t>Leba</t>
  </si>
  <si>
    <t>Bosn</t>
  </si>
  <si>
    <t>Pana</t>
  </si>
  <si>
    <t>Maur</t>
  </si>
  <si>
    <t>Mold</t>
  </si>
  <si>
    <t>Puer</t>
  </si>
  <si>
    <t>Urug</t>
  </si>
  <si>
    <t>Kuwa</t>
  </si>
  <si>
    <t>Arme</t>
  </si>
  <si>
    <t>Mong</t>
  </si>
  <si>
    <t>Lith</t>
  </si>
  <si>
    <t>Alba</t>
  </si>
  <si>
    <t>Jama</t>
  </si>
  <si>
    <t>Qata</t>
  </si>
  <si>
    <t>Leso</t>
  </si>
  <si>
    <t>Nami</t>
  </si>
  <si>
    <t>Mace</t>
  </si>
  <si>
    <t>Bots</t>
  </si>
  <si>
    <t>Latv</t>
  </si>
  <si>
    <t xml:space="preserve">The </t>
  </si>
  <si>
    <t>Koso</t>
  </si>
  <si>
    <t>Gabo</t>
  </si>
  <si>
    <t>Equa</t>
  </si>
  <si>
    <t>Trin</t>
  </si>
  <si>
    <t>Bahr</t>
  </si>
  <si>
    <t>Esto</t>
  </si>
  <si>
    <t>East</t>
  </si>
  <si>
    <t>Swaz</t>
  </si>
  <si>
    <t>Djib</t>
  </si>
  <si>
    <t>Fiji</t>
  </si>
  <si>
    <t>Cypr</t>
  </si>
  <si>
    <t>Réun</t>
  </si>
  <si>
    <t>Como</t>
  </si>
  <si>
    <t>Bhut</t>
  </si>
  <si>
    <t>Guya</t>
  </si>
  <si>
    <t>Maca</t>
  </si>
  <si>
    <t>Mont</t>
  </si>
  <si>
    <t>West</t>
  </si>
  <si>
    <t>Solo</t>
  </si>
  <si>
    <t>Luxe</t>
  </si>
  <si>
    <t>Suri</t>
  </si>
  <si>
    <t>Cape</t>
  </si>
  <si>
    <t>Tran</t>
  </si>
  <si>
    <t>Malt</t>
  </si>
  <si>
    <t>Guad</t>
  </si>
  <si>
    <t>Brun</t>
  </si>
  <si>
    <t>Mart</t>
  </si>
  <si>
    <t>Beli</t>
  </si>
  <si>
    <t>Mald</t>
  </si>
  <si>
    <t>Icel</t>
  </si>
  <si>
    <t>Barb</t>
  </si>
  <si>
    <t>Fren</t>
  </si>
  <si>
    <t>Vanu</t>
  </si>
  <si>
    <t>Abkh</t>
  </si>
  <si>
    <t>Mayo</t>
  </si>
  <si>
    <t>Samo</t>
  </si>
  <si>
    <t xml:space="preserve">São </t>
  </si>
  <si>
    <t>Sain</t>
  </si>
  <si>
    <t>Guam</t>
  </si>
  <si>
    <t>Cura</t>
  </si>
  <si>
    <t>Arub</t>
  </si>
  <si>
    <t>Kiri</t>
  </si>
  <si>
    <t>Gren</t>
  </si>
  <si>
    <t>Tong</t>
  </si>
  <si>
    <t>Fede</t>
  </si>
  <si>
    <t>Jers</t>
  </si>
  <si>
    <t>Seyc</t>
  </si>
  <si>
    <t>Anti</t>
  </si>
  <si>
    <t>Isle</t>
  </si>
  <si>
    <t>Ando</t>
  </si>
  <si>
    <t>Berm</t>
  </si>
  <si>
    <t>Guer</t>
  </si>
  <si>
    <t>Mars</t>
  </si>
  <si>
    <t>Caym</t>
  </si>
  <si>
    <t>Amer</t>
  </si>
  <si>
    <t>Faro</t>
  </si>
  <si>
    <t>Sint</t>
  </si>
  <si>
    <t>Liec</t>
  </si>
  <si>
    <t>Mona</t>
  </si>
  <si>
    <t>Coll</t>
  </si>
  <si>
    <t xml:space="preserve">San </t>
  </si>
  <si>
    <t>Gibr</t>
  </si>
  <si>
    <t>Ålan</t>
  </si>
  <si>
    <t>Brit</t>
  </si>
  <si>
    <t>Cari</t>
  </si>
  <si>
    <t>Pala</t>
  </si>
  <si>
    <t>Cook</t>
  </si>
  <si>
    <t>Angu</t>
  </si>
  <si>
    <t>Wall</t>
  </si>
  <si>
    <t>Tuva</t>
  </si>
  <si>
    <t>Naur</t>
  </si>
  <si>
    <t>Falk</t>
  </si>
  <si>
    <t>Sval</t>
  </si>
  <si>
    <t>Norf</t>
  </si>
  <si>
    <t>Chri</t>
  </si>
  <si>
    <t>Niue</t>
  </si>
  <si>
    <t>Toke</t>
  </si>
  <si>
    <t>Vati</t>
  </si>
  <si>
    <t>Coco</t>
  </si>
  <si>
    <t>Pitc</t>
  </si>
  <si>
    <t>30) Our Main goal is to create a macro that will convert this
CSV File into nice and clean table as shown below. (Use Macros file from
GitHub)</t>
  </si>
  <si>
    <t>CSV File into nice and clean table as shown below. (Use VBA file from</t>
  </si>
  <si>
    <t>GitHub)</t>
  </si>
  <si>
    <t>31) Our Main goal is to create a Macros that will convert this</t>
  </si>
  <si>
    <t>Order ID</t>
  </si>
  <si>
    <t>Product</t>
  </si>
  <si>
    <t>Quantity</t>
  </si>
  <si>
    <t>Price</t>
  </si>
  <si>
    <t>Total</t>
  </si>
  <si>
    <t>Bill Smith</t>
  </si>
  <si>
    <t>Volkswagen Golf</t>
  </si>
  <si>
    <t>Kennedi Singh</t>
  </si>
  <si>
    <t>Toyota Yaris</t>
  </si>
  <si>
    <t>Harley Fritz</t>
  </si>
  <si>
    <t>Seat Panda</t>
  </si>
  <si>
    <t>Nyla Novak</t>
  </si>
  <si>
    <t>Ford Focus</t>
  </si>
  <si>
    <t>Ivan Hines</t>
  </si>
  <si>
    <t>Vauxhall Corsa</t>
  </si>
  <si>
    <t>Jonah Higgins</t>
  </si>
  <si>
    <t>Volkswagen Polo</t>
  </si>
  <si>
    <t>Jordan Boone</t>
  </si>
  <si>
    <t>Kia Sportage</t>
  </si>
  <si>
    <t>Kylee Townsend</t>
  </si>
  <si>
    <t>Ford Fiesta</t>
  </si>
  <si>
    <t>Nora Rollins</t>
  </si>
  <si>
    <t>Seat Ibiza</t>
  </si>
  <si>
    <t>Brendan Walls</t>
  </si>
  <si>
    <t>Renault Clio</t>
  </si>
  <si>
    <t>Steven Michael</t>
  </si>
  <si>
    <t>Honda CR-V</t>
  </si>
  <si>
    <t>Lucia Mckay</t>
  </si>
  <si>
    <t>GMC Sierra</t>
  </si>
  <si>
    <t>Josue Roach</t>
  </si>
  <si>
    <t>Franklin Wright</t>
  </si>
  <si>
    <t>Denzel Flores</t>
  </si>
  <si>
    <t>Bruno Cordova</t>
  </si>
  <si>
    <t>Jaylynn Knapp</t>
  </si>
  <si>
    <t>Bruce Rich</t>
  </si>
  <si>
    <t>Discount</t>
  </si>
  <si>
    <t>Aarav</t>
  </si>
  <si>
    <t>Patel</t>
  </si>
  <si>
    <t>Aisha</t>
  </si>
  <si>
    <t>Kumar</t>
  </si>
  <si>
    <t>Amit</t>
  </si>
  <si>
    <t>Sharma</t>
  </si>
  <si>
    <t>Ananya</t>
  </si>
  <si>
    <t>Choudhury</t>
  </si>
  <si>
    <t>Arjun</t>
  </si>
  <si>
    <t>Reddy</t>
  </si>
  <si>
    <t>Avni</t>
  </si>
  <si>
    <t>Gupta</t>
  </si>
  <si>
    <t>Dev</t>
  </si>
  <si>
    <t>Verma</t>
  </si>
  <si>
    <t>Dia</t>
  </si>
  <si>
    <t>Singh</t>
  </si>
  <si>
    <t>Ishaan</t>
  </si>
  <si>
    <t>Saxena</t>
  </si>
  <si>
    <t>Jiya</t>
  </si>
  <si>
    <t>Khan</t>
  </si>
  <si>
    <t>Kabir</t>
  </si>
  <si>
    <t>Mishra</t>
  </si>
  <si>
    <t>Kriti</t>
  </si>
  <si>
    <t>Joshi</t>
  </si>
  <si>
    <t>Mohan</t>
  </si>
  <si>
    <t>Neha</t>
  </si>
  <si>
    <t>Shah</t>
  </si>
  <si>
    <t>Pranav</t>
  </si>
  <si>
    <t>Jain</t>
  </si>
  <si>
    <t>Riya</t>
  </si>
  <si>
    <t>Das</t>
  </si>
  <si>
    <t>Rohan</t>
  </si>
  <si>
    <t>Pandey</t>
  </si>
  <si>
    <t>Sneha</t>
  </si>
  <si>
    <t>Chopra</t>
  </si>
  <si>
    <t>Vikram</t>
  </si>
  <si>
    <t>Singhania</t>
  </si>
  <si>
    <t>Zoya</t>
  </si>
  <si>
    <t>Mehta</t>
  </si>
  <si>
    <t>First Name</t>
  </si>
  <si>
    <t>Last Name</t>
  </si>
  <si>
    <t>Sr. 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</si>
</sst>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 #,##0.00_ ;_ * \-#,##0.00_ ;_ * &quot;-&quot;??_ ;_ @_ "/>
    <numFmt numFmtId="164" formatCode="B1mmm\-yy"/>
    <numFmt numFmtId="165" formatCode="_([$$-409]* #,##0.00_);_([$$-409]* \(#,##0.00\);_([$$-409]* &quot;-&quot;??_);_(@_)"/>
    <numFmt numFmtId="166" formatCode="_ * #,##0_ ;_ * \-#,##0_ ;_ * &quot;-&quot;??_ ;_ @_ "/>
    <numFmt numFmtId="167" formatCode="_(* #,##0_);_(* \(#,##0\);_(* &quot;-&quot;??_);_(@_)"/>
    <numFmt numFmtId="168" formatCode="_(&quot;$&quot;* #,##0.00_);_(&quot;$&quot;* \(#,##0.00\);_(&quot;$&quot;* &quot;-&quot;??_);_(@_)"/>
    <numFmt numFmtId="169" formatCode="_-[$$-409]* #,##0.0000_ ;_-[$$-409]* \-#,##0.0000\ ;_-[$$-409]* &quot;-&quot;??_ ;_-@_ "/>
  </numFmts>
  <fonts count="36"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charset val="177"/>
      <scheme val="minor"/>
    </font>
    <font>
      <sz val="11"/>
      <color theme="1"/>
      <name val="Calibri"/>
      <family val="2"/>
    </font>
    <font>
      <b/>
      <sz val="11"/>
      <color theme="1"/>
      <name val="Calibri"/>
      <family val="2"/>
    </font>
    <font>
      <u/>
      <sz val="11"/>
      <color theme="10"/>
      <name val="Calibri"/>
      <family val="2"/>
      <scheme val="minor"/>
    </font>
    <font>
      <b/>
      <sz val="11"/>
      <name val="Calibri"/>
      <family val="2"/>
      <charset val="177"/>
    </font>
    <font>
      <sz val="11"/>
      <name val="Arial"/>
      <family val="2"/>
    </font>
    <font>
      <sz val="11"/>
      <name val="Calibri"/>
      <family val="2"/>
      <charset val="177"/>
    </font>
    <font>
      <b/>
      <u/>
      <sz val="11"/>
      <name val="Calibri"/>
      <family val="2"/>
      <charset val="177"/>
    </font>
    <font>
      <b/>
      <sz val="11"/>
      <name val="Calibri"/>
      <family val="2"/>
      <scheme val="minor"/>
    </font>
    <font>
      <sz val="11"/>
      <name val="Calibri"/>
      <family val="2"/>
      <scheme val="minor"/>
    </font>
    <font>
      <b/>
      <sz val="9"/>
      <name val="Calibri"/>
      <family val="2"/>
      <scheme val="minor"/>
    </font>
    <font>
      <sz val="9"/>
      <name val="Calibri"/>
      <family val="2"/>
      <scheme val="minor"/>
    </font>
    <font>
      <b/>
      <u/>
      <sz val="11"/>
      <name val="Calibri"/>
      <family val="2"/>
      <scheme val="minor"/>
    </font>
    <font>
      <sz val="11"/>
      <color rgb="FF0E101A"/>
      <name val="Calibri"/>
      <family val="2"/>
    </font>
    <font>
      <b/>
      <u/>
      <sz val="11"/>
      <color theme="1"/>
      <name val="Calibri"/>
      <family val="2"/>
    </font>
    <font>
      <u/>
      <sz val="11"/>
      <color theme="1"/>
      <name val="Calibri"/>
      <family val="2"/>
    </font>
    <font>
      <b/>
      <sz val="11"/>
      <color rgb="FF0E101A"/>
      <name val="Calibri"/>
      <family val="2"/>
    </font>
    <font>
      <b/>
      <sz val="10"/>
      <color rgb="FF000000"/>
      <name val="Arial"/>
      <family val="2"/>
    </font>
    <font>
      <sz val="11"/>
      <color rgb="FF000000"/>
      <name val="Roboto"/>
    </font>
    <font>
      <b/>
      <sz val="10"/>
      <color theme="1"/>
      <name val="Arial"/>
      <family val="2"/>
    </font>
    <font>
      <b/>
      <sz val="11"/>
      <color theme="1"/>
      <name val="Calibri"/>
      <family val="2"/>
      <charset val="177"/>
    </font>
    <font>
      <b/>
      <sz val="11"/>
      <name val="Arial"/>
      <family val="2"/>
      <charset val="177"/>
    </font>
    <font>
      <sz val="10"/>
      <color theme="1"/>
      <name val="Calibri"/>
      <family val="2"/>
      <scheme val="minor"/>
    </font>
    <font>
      <b/>
      <sz val="10"/>
      <color theme="1"/>
      <name val="Calibri"/>
      <family val="2"/>
      <scheme val="minor"/>
    </font>
    <font>
      <b/>
      <u/>
      <sz val="10"/>
      <color rgb="FF374151"/>
      <name val="Calibri"/>
      <family val="2"/>
      <scheme val="minor"/>
    </font>
    <font>
      <sz val="10"/>
      <color rgb="FF374151"/>
      <name val="Calibri"/>
      <family val="2"/>
      <scheme val="minor"/>
    </font>
    <font>
      <b/>
      <u/>
      <sz val="10"/>
      <name val="Calibri"/>
      <family val="2"/>
      <scheme val="minor"/>
    </font>
    <font>
      <b/>
      <sz val="10"/>
      <name val="Calibri"/>
      <family val="2"/>
      <scheme val="minor"/>
    </font>
    <font>
      <sz val="10"/>
      <name val="Calibri"/>
      <family val="2"/>
      <scheme val="minor"/>
    </font>
    <font>
      <sz val="11"/>
      <color rgb="FF000000"/>
      <name val="Calibri"/>
      <family val="2"/>
      <charset val="177"/>
    </font>
    <font>
      <b/>
      <sz val="11"/>
      <color rgb="FF000000"/>
      <name val="Calibri"/>
      <family val="2"/>
      <charset val="177"/>
    </font>
    <font>
      <b/>
      <sz val="11"/>
      <color rgb="FF000000"/>
      <name val="Calibri"/>
      <family val="2"/>
    </font>
    <font>
      <sz val="11"/>
      <color rgb="FF000000"/>
      <name val="Calibri"/>
      <family val="2"/>
    </font>
  </fonts>
  <fills count="16">
    <fill>
      <patternFill patternType="none"/>
    </fill>
    <fill>
      <patternFill patternType="gray125"/>
    </fill>
    <fill>
      <patternFill patternType="solid">
        <fgColor rgb="FFDEEAF6"/>
        <bgColor rgb="FFDEEAF6"/>
      </patternFill>
    </fill>
    <fill>
      <patternFill patternType="solid">
        <fgColor rgb="FFFBE4D5"/>
        <bgColor rgb="FFFBE4D5"/>
      </patternFill>
    </fill>
    <fill>
      <patternFill patternType="solid">
        <fgColor rgb="FFE2EFD9"/>
        <bgColor rgb="FFE2EFD9"/>
      </patternFill>
    </fill>
    <fill>
      <patternFill patternType="solid">
        <fgColor rgb="FFFFFF00"/>
        <bgColor rgb="FFFFFF00"/>
      </patternFill>
    </fill>
    <fill>
      <patternFill patternType="solid">
        <fgColor rgb="FFCCCCCC"/>
        <bgColor rgb="FFCCCCCC"/>
      </patternFill>
    </fill>
    <fill>
      <patternFill patternType="solid">
        <fgColor rgb="FFFFFFFF"/>
        <bgColor rgb="FFFFFFFF"/>
      </patternFill>
    </fill>
    <fill>
      <patternFill patternType="solid">
        <fgColor rgb="FFECECEC"/>
        <bgColor rgb="FFECECEC"/>
      </patternFill>
    </fill>
    <fill>
      <patternFill patternType="solid">
        <fgColor rgb="FFFFFF00"/>
        <bgColor indexed="64"/>
      </patternFill>
    </fill>
    <fill>
      <patternFill patternType="solid">
        <fgColor rgb="FFC5E0B3"/>
        <bgColor rgb="FFC5E0B3"/>
      </patternFill>
    </fill>
    <fill>
      <patternFill patternType="solid">
        <fgColor rgb="FFC0C0C0"/>
        <bgColor rgb="FFC0C0C0"/>
      </patternFill>
    </fill>
    <fill>
      <patternFill patternType="solid">
        <fgColor rgb="FFBFBFBF"/>
        <bgColor rgb="FFBFBFBF"/>
      </patternFill>
    </fill>
    <fill>
      <patternFill patternType="solid">
        <fgColor rgb="FF92D050"/>
        <bgColor rgb="FF92D050"/>
      </patternFill>
    </fill>
    <fill>
      <patternFill patternType="solid">
        <fgColor theme="4" tint="0.39997558519241921"/>
        <bgColor indexed="64"/>
      </patternFill>
    </fill>
    <fill>
      <patternFill patternType="solid">
        <fgColor theme="3" tint="0.39997558519241921"/>
        <bgColor indexed="64"/>
      </patternFill>
    </fill>
  </fills>
  <borders count="14">
    <border>
      <left/>
      <right/>
      <top/>
      <bottom/>
      <diagonal/>
    </border>
    <border>
      <left style="thin">
        <color rgb="FF000000"/>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thin">
        <color indexed="64"/>
      </left>
      <right style="thin">
        <color indexed="64"/>
      </right>
      <top style="thin">
        <color indexed="64"/>
      </top>
      <bottom style="thin">
        <color indexed="64"/>
      </bottom>
      <diagonal/>
    </border>
    <border>
      <left style="thin">
        <color rgb="FF000000"/>
      </left>
      <right/>
      <top style="thin">
        <color rgb="FF000000"/>
      </top>
      <bottom style="thin">
        <color rgb="FF000000"/>
      </bottom>
      <diagonal/>
    </border>
    <border>
      <left/>
      <right/>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indexed="64"/>
      </left>
      <right style="medium">
        <color indexed="64"/>
      </right>
      <top style="medium">
        <color indexed="64"/>
      </top>
      <bottom style="medium">
        <color indexed="64"/>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s>
  <cellStyleXfs count="7">
    <xf numFmtId="0" fontId="0" fillId="0" borderId="0"/>
    <xf numFmtId="0" fontId="3" fillId="0" borderId="0"/>
    <xf numFmtId="0" fontId="1" fillId="0" borderId="0"/>
    <xf numFmtId="0" fontId="6" fillId="0" borderId="0" applyNumberFormat="0" applyFill="0" applyBorder="0" applyAlignment="0" applyProtection="0"/>
    <xf numFmtId="43" fontId="3" fillId="0" borderId="0" applyFont="0" applyFill="0" applyBorder="0" applyAlignment="0" applyProtection="0"/>
    <xf numFmtId="43" fontId="1" fillId="0" borderId="0" applyFont="0" applyFill="0" applyBorder="0" applyAlignment="0" applyProtection="0"/>
    <xf numFmtId="0" fontId="6" fillId="0" borderId="0" applyNumberFormat="0" applyFill="0" applyBorder="0" applyAlignment="0" applyProtection="0"/>
  </cellStyleXfs>
  <cellXfs count="137">
    <xf numFmtId="0" fontId="0" fillId="0" borderId="0" xfId="0"/>
    <xf numFmtId="0" fontId="4" fillId="0" borderId="1" xfId="1" applyFont="1" applyBorder="1"/>
    <xf numFmtId="0" fontId="4" fillId="2" borderId="1" xfId="1" applyFont="1" applyFill="1" applyBorder="1"/>
    <xf numFmtId="0" fontId="4" fillId="3" borderId="1" xfId="1" applyFont="1" applyFill="1" applyBorder="1"/>
    <xf numFmtId="0" fontId="4" fillId="4" borderId="1" xfId="1" applyFont="1" applyFill="1" applyBorder="1"/>
    <xf numFmtId="0" fontId="5" fillId="0" borderId="0" xfId="1" applyFont="1"/>
    <xf numFmtId="0" fontId="3" fillId="0" borderId="0" xfId="1"/>
    <xf numFmtId="0" fontId="4" fillId="0" borderId="0" xfId="1" applyFont="1"/>
    <xf numFmtId="0" fontId="4" fillId="5" borderId="2" xfId="1" applyFont="1" applyFill="1" applyBorder="1" applyProtection="1">
      <protection locked="0"/>
    </xf>
    <xf numFmtId="0" fontId="5" fillId="5" borderId="2" xfId="1" applyFont="1" applyFill="1" applyBorder="1" applyProtection="1">
      <protection locked="0"/>
    </xf>
    <xf numFmtId="0" fontId="0" fillId="0" borderId="0" xfId="0" applyAlignment="1">
      <alignment wrapText="1"/>
    </xf>
    <xf numFmtId="0" fontId="0" fillId="0" borderId="0" xfId="0" applyAlignment="1">
      <alignment horizontal="left" wrapText="1"/>
    </xf>
    <xf numFmtId="164" fontId="4" fillId="0" borderId="0" xfId="1" applyNumberFormat="1" applyFont="1"/>
    <xf numFmtId="0" fontId="4" fillId="5" borderId="0" xfId="1" applyFont="1" applyFill="1" applyProtection="1">
      <protection locked="0"/>
    </xf>
    <xf numFmtId="0" fontId="0" fillId="0" borderId="0" xfId="0" applyAlignment="1">
      <alignment vertical="top" wrapText="1"/>
    </xf>
    <xf numFmtId="0" fontId="0" fillId="0" borderId="0" xfId="0" applyAlignment="1">
      <alignment horizontal="left" vertical="top" wrapText="1"/>
    </xf>
    <xf numFmtId="0" fontId="12" fillId="0" borderId="0" xfId="0" applyFont="1"/>
    <xf numFmtId="0" fontId="7" fillId="0" borderId="0" xfId="1" applyFont="1"/>
    <xf numFmtId="0" fontId="8" fillId="0" borderId="0" xfId="1" applyFont="1"/>
    <xf numFmtId="0" fontId="9" fillId="0" borderId="0" xfId="1" applyFont="1"/>
    <xf numFmtId="0" fontId="9" fillId="0" borderId="1" xfId="1" applyFont="1" applyBorder="1"/>
    <xf numFmtId="0" fontId="10" fillId="6" borderId="1" xfId="1" applyFont="1" applyFill="1" applyBorder="1"/>
    <xf numFmtId="0" fontId="9" fillId="6" borderId="1" xfId="1" applyFont="1" applyFill="1" applyBorder="1"/>
    <xf numFmtId="0" fontId="9" fillId="5" borderId="2" xfId="1" applyFont="1" applyFill="1" applyBorder="1" applyProtection="1">
      <protection locked="0"/>
    </xf>
    <xf numFmtId="0" fontId="11" fillId="0" borderId="0" xfId="1" applyFont="1"/>
    <xf numFmtId="0" fontId="12" fillId="0" borderId="0" xfId="1" applyFont="1"/>
    <xf numFmtId="0" fontId="13" fillId="7" borderId="1" xfId="1" applyFont="1" applyFill="1" applyBorder="1" applyAlignment="1">
      <alignment horizontal="center" vertical="center" wrapText="1"/>
    </xf>
    <xf numFmtId="0" fontId="14" fillId="7" borderId="1" xfId="1" applyFont="1" applyFill="1" applyBorder="1" applyAlignment="1">
      <alignment horizontal="center" vertical="center" wrapText="1"/>
    </xf>
    <xf numFmtId="43" fontId="14" fillId="7" borderId="1" xfId="1" applyNumberFormat="1" applyFont="1" applyFill="1" applyBorder="1" applyAlignment="1">
      <alignment vertical="center" wrapText="1"/>
    </xf>
    <xf numFmtId="43" fontId="14" fillId="7" borderId="1" xfId="1" applyNumberFormat="1" applyFont="1" applyFill="1" applyBorder="1" applyAlignment="1">
      <alignment horizontal="center" vertical="center" wrapText="1"/>
    </xf>
    <xf numFmtId="1" fontId="14" fillId="7" borderId="1" xfId="1" applyNumberFormat="1" applyFont="1" applyFill="1" applyBorder="1" applyAlignment="1">
      <alignment horizontal="center" vertical="center" wrapText="1"/>
    </xf>
    <xf numFmtId="0" fontId="12" fillId="5" borderId="2" xfId="1" applyFont="1" applyFill="1" applyBorder="1" applyProtection="1">
      <protection locked="0"/>
    </xf>
    <xf numFmtId="0" fontId="9" fillId="8" borderId="3" xfId="1" applyFont="1" applyFill="1" applyBorder="1"/>
    <xf numFmtId="0" fontId="9" fillId="8" borderId="4" xfId="1" applyFont="1" applyFill="1" applyBorder="1"/>
    <xf numFmtId="0" fontId="9" fillId="8" borderId="5" xfId="1" applyFont="1" applyFill="1" applyBorder="1"/>
    <xf numFmtId="0" fontId="9" fillId="5" borderId="0" xfId="1" applyFont="1" applyFill="1" applyProtection="1">
      <protection locked="0"/>
    </xf>
    <xf numFmtId="0" fontId="15" fillId="0" borderId="0" xfId="0" applyFont="1"/>
    <xf numFmtId="0" fontId="11" fillId="0" borderId="6" xfId="0" applyFont="1" applyBorder="1" applyAlignment="1">
      <alignment horizontal="center" vertical="center"/>
    </xf>
    <xf numFmtId="0" fontId="12" fillId="0" borderId="6" xfId="0" applyFont="1" applyBorder="1" applyAlignment="1">
      <alignment horizontal="center" vertical="center"/>
    </xf>
    <xf numFmtId="0" fontId="11" fillId="0" borderId="0" xfId="0" applyFont="1"/>
    <xf numFmtId="0" fontId="12" fillId="0" borderId="0" xfId="0" applyFont="1" applyAlignment="1">
      <alignment horizontal="left" indent="1"/>
    </xf>
    <xf numFmtId="0" fontId="12" fillId="9" borderId="6" xfId="0" applyFont="1" applyFill="1" applyBorder="1"/>
    <xf numFmtId="0" fontId="0" fillId="0" borderId="0" xfId="0" applyAlignment="1">
      <alignment horizontal="left"/>
    </xf>
    <xf numFmtId="0" fontId="16" fillId="0" borderId="0" xfId="1" applyFont="1"/>
    <xf numFmtId="0" fontId="5" fillId="0" borderId="1" xfId="1" applyFont="1" applyBorder="1"/>
    <xf numFmtId="0" fontId="1" fillId="0" borderId="0" xfId="1" applyFont="1"/>
    <xf numFmtId="0" fontId="4" fillId="5" borderId="1" xfId="1" applyFont="1" applyFill="1" applyBorder="1" applyProtection="1">
      <protection locked="0"/>
    </xf>
    <xf numFmtId="0" fontId="17" fillId="0" borderId="0" xfId="1" applyFont="1"/>
    <xf numFmtId="0" fontId="18" fillId="0" borderId="0" xfId="1" applyFont="1"/>
    <xf numFmtId="165" fontId="4" fillId="0" borderId="1" xfId="1" applyNumberFormat="1" applyFont="1" applyBorder="1"/>
    <xf numFmtId="0" fontId="4" fillId="0" borderId="0" xfId="1" applyFont="1" applyAlignment="1">
      <alignment horizontal="left"/>
    </xf>
    <xf numFmtId="0" fontId="19" fillId="0" borderId="0" xfId="1" applyFont="1"/>
    <xf numFmtId="0" fontId="4" fillId="0" borderId="0" xfId="1" applyFont="1" applyAlignment="1">
      <alignment horizontal="right"/>
    </xf>
    <xf numFmtId="0" fontId="17" fillId="0" borderId="1" xfId="1" applyFont="1" applyBorder="1"/>
    <xf numFmtId="0" fontId="17" fillId="0" borderId="7" xfId="1" applyFont="1" applyBorder="1"/>
    <xf numFmtId="0" fontId="4" fillId="0" borderId="7" xfId="1" applyFont="1" applyBorder="1"/>
    <xf numFmtId="0" fontId="2" fillId="0" borderId="1" xfId="1" applyFont="1" applyBorder="1"/>
    <xf numFmtId="0" fontId="1" fillId="0" borderId="1" xfId="1" applyFont="1" applyBorder="1"/>
    <xf numFmtId="166" fontId="1" fillId="0" borderId="1" xfId="4" applyNumberFormat="1" applyFont="1" applyBorder="1"/>
    <xf numFmtId="9" fontId="1" fillId="0" borderId="1" xfId="1" applyNumberFormat="1" applyFont="1" applyBorder="1"/>
    <xf numFmtId="3" fontId="1" fillId="5" borderId="1" xfId="1" applyNumberFormat="1" applyFont="1" applyFill="1" applyBorder="1" applyProtection="1">
      <protection locked="0"/>
    </xf>
    <xf numFmtId="0" fontId="4" fillId="0" borderId="0" xfId="1" quotePrefix="1" applyFont="1"/>
    <xf numFmtId="9" fontId="4" fillId="0" borderId="0" xfId="1" applyNumberFormat="1" applyFont="1"/>
    <xf numFmtId="9" fontId="4" fillId="5" borderId="0" xfId="1" applyNumberFormat="1" applyFont="1" applyFill="1" applyProtection="1">
      <protection locked="0"/>
    </xf>
    <xf numFmtId="0" fontId="17" fillId="0" borderId="0" xfId="1" applyFont="1" applyAlignment="1">
      <alignment horizontal="center"/>
    </xf>
    <xf numFmtId="0" fontId="4" fillId="0" borderId="0" xfId="1" applyFont="1" applyAlignment="1">
      <alignment horizontal="center"/>
    </xf>
    <xf numFmtId="0" fontId="5" fillId="0" borderId="0" xfId="1" applyFont="1" applyAlignment="1">
      <alignment horizontal="center"/>
    </xf>
    <xf numFmtId="0" fontId="17" fillId="0" borderId="8" xfId="1" applyFont="1" applyBorder="1"/>
    <xf numFmtId="0" fontId="8" fillId="0" borderId="8" xfId="1" applyFont="1" applyBorder="1"/>
    <xf numFmtId="168" fontId="0" fillId="0" borderId="0" xfId="0" applyNumberFormat="1"/>
    <xf numFmtId="0" fontId="2" fillId="0" borderId="6" xfId="1" applyFont="1" applyBorder="1"/>
    <xf numFmtId="0" fontId="3" fillId="0" borderId="6" xfId="1" applyBorder="1"/>
    <xf numFmtId="0" fontId="3" fillId="9" borderId="6" xfId="1" applyFill="1" applyBorder="1" applyProtection="1">
      <protection locked="0"/>
    </xf>
    <xf numFmtId="167" fontId="4" fillId="0" borderId="0" xfId="1" applyNumberFormat="1" applyFont="1" applyAlignment="1">
      <alignment horizontal="center"/>
    </xf>
    <xf numFmtId="167" fontId="4" fillId="5" borderId="2" xfId="1" applyNumberFormat="1" applyFont="1" applyFill="1" applyBorder="1" applyProtection="1">
      <protection locked="0"/>
    </xf>
    <xf numFmtId="14" fontId="5" fillId="10" borderId="1" xfId="1" applyNumberFormat="1" applyFont="1" applyFill="1" applyBorder="1"/>
    <xf numFmtId="168" fontId="5" fillId="10" borderId="1" xfId="1" applyNumberFormat="1" applyFont="1" applyFill="1" applyBorder="1"/>
    <xf numFmtId="14" fontId="4" fillId="0" borderId="1" xfId="1" applyNumberFormat="1" applyFont="1" applyBorder="1"/>
    <xf numFmtId="168" fontId="4" fillId="0" borderId="1" xfId="1" applyNumberFormat="1" applyFont="1" applyBorder="1"/>
    <xf numFmtId="3" fontId="20" fillId="11" borderId="1" xfId="1" applyNumberFormat="1" applyFont="1" applyFill="1" applyBorder="1" applyAlignment="1">
      <alignment horizontal="center"/>
    </xf>
    <xf numFmtId="3" fontId="16" fillId="0" borderId="0" xfId="1" applyNumberFormat="1" applyFont="1"/>
    <xf numFmtId="3" fontId="20" fillId="0" borderId="0" xfId="1" applyNumberFormat="1" applyFont="1" applyAlignment="1">
      <alignment horizontal="right"/>
    </xf>
    <xf numFmtId="0" fontId="20" fillId="11" borderId="1" xfId="1" applyFont="1" applyFill="1" applyBorder="1" applyAlignment="1">
      <alignment horizontal="center"/>
    </xf>
    <xf numFmtId="0" fontId="22" fillId="11" borderId="1" xfId="1" applyFont="1" applyFill="1" applyBorder="1" applyAlignment="1">
      <alignment horizontal="center"/>
    </xf>
    <xf numFmtId="3" fontId="20" fillId="5" borderId="1" xfId="1" applyNumberFormat="1" applyFont="1" applyFill="1" applyBorder="1" applyAlignment="1">
      <alignment horizontal="center"/>
    </xf>
    <xf numFmtId="3" fontId="5" fillId="5" borderId="1" xfId="1" applyNumberFormat="1" applyFont="1" applyFill="1" applyBorder="1" applyAlignment="1">
      <alignment horizontal="center"/>
    </xf>
    <xf numFmtId="0" fontId="21" fillId="0" borderId="0" xfId="1" applyFont="1"/>
    <xf numFmtId="0" fontId="20" fillId="0" borderId="1" xfId="1" applyFont="1" applyBorder="1" applyAlignment="1">
      <alignment horizontal="center"/>
    </xf>
    <xf numFmtId="168" fontId="4" fillId="9" borderId="1" xfId="1" applyNumberFormat="1" applyFont="1" applyFill="1" applyBorder="1" applyProtection="1">
      <protection locked="0"/>
    </xf>
    <xf numFmtId="3" fontId="4" fillId="5" borderId="1" xfId="1" applyNumberFormat="1" applyFont="1" applyFill="1" applyBorder="1" applyProtection="1">
      <protection locked="0"/>
    </xf>
    <xf numFmtId="3" fontId="4" fillId="5" borderId="6" xfId="1" applyNumberFormat="1" applyFont="1" applyFill="1" applyBorder="1" applyProtection="1">
      <protection locked="0"/>
    </xf>
    <xf numFmtId="3" fontId="4" fillId="9" borderId="6" xfId="1" applyNumberFormat="1" applyFont="1" applyFill="1" applyBorder="1" applyProtection="1">
      <protection locked="0"/>
    </xf>
    <xf numFmtId="0" fontId="2" fillId="0" borderId="6" xfId="0" applyFont="1" applyBorder="1"/>
    <xf numFmtId="0" fontId="0" fillId="0" borderId="6" xfId="0" applyBorder="1"/>
    <xf numFmtId="166" fontId="0" fillId="0" borderId="6" xfId="5" applyNumberFormat="1" applyFont="1" applyBorder="1"/>
    <xf numFmtId="0" fontId="2" fillId="0" borderId="0" xfId="0" applyFont="1"/>
    <xf numFmtId="0" fontId="0" fillId="9" borderId="11" xfId="0" applyFill="1" applyBorder="1" applyProtection="1">
      <protection locked="0"/>
    </xf>
    <xf numFmtId="0" fontId="25" fillId="0" borderId="0" xfId="0" applyFont="1"/>
    <xf numFmtId="0" fontId="26" fillId="0" borderId="0" xfId="0" applyFont="1"/>
    <xf numFmtId="0" fontId="26" fillId="0" borderId="6" xfId="0" applyFont="1" applyBorder="1"/>
    <xf numFmtId="0" fontId="25" fillId="0" borderId="6" xfId="0" applyFont="1" applyBorder="1"/>
    <xf numFmtId="0" fontId="27" fillId="0" borderId="0" xfId="0" applyFont="1" applyAlignment="1">
      <alignment vertical="center"/>
    </xf>
    <xf numFmtId="0" fontId="28" fillId="0" borderId="0" xfId="0" applyFont="1" applyAlignment="1">
      <alignment vertical="center"/>
    </xf>
    <xf numFmtId="0" fontId="29" fillId="0" borderId="0" xfId="0" applyFont="1"/>
    <xf numFmtId="0" fontId="30" fillId="0" borderId="0" xfId="0" applyFont="1"/>
    <xf numFmtId="0" fontId="31" fillId="9" borderId="6" xfId="0" applyFont="1" applyFill="1" applyBorder="1"/>
    <xf numFmtId="0" fontId="6" fillId="0" borderId="0" xfId="6" quotePrefix="1"/>
    <xf numFmtId="14" fontId="32" fillId="0" borderId="0" xfId="0" applyNumberFormat="1" applyFont="1" applyAlignment="1">
      <alignment wrapText="1"/>
    </xf>
    <xf numFmtId="14" fontId="0" fillId="0" borderId="0" xfId="0" applyNumberFormat="1"/>
    <xf numFmtId="169" fontId="32" fillId="0" borderId="0" xfId="0" applyNumberFormat="1" applyFont="1" applyAlignment="1">
      <alignment horizontal="left" wrapText="1"/>
    </xf>
    <xf numFmtId="0" fontId="33" fillId="0" borderId="0" xfId="0" applyFont="1" applyAlignment="1">
      <alignment wrapText="1"/>
    </xf>
    <xf numFmtId="0" fontId="0" fillId="9" borderId="0" xfId="0" applyFill="1" applyProtection="1">
      <protection locked="0"/>
    </xf>
    <xf numFmtId="0" fontId="35" fillId="0" borderId="0" xfId="1" applyFont="1"/>
    <xf numFmtId="0" fontId="34" fillId="13" borderId="1" xfId="1" applyFont="1" applyFill="1" applyBorder="1"/>
    <xf numFmtId="0" fontId="34" fillId="13" borderId="10" xfId="1" applyFont="1" applyFill="1" applyBorder="1"/>
    <xf numFmtId="0" fontId="35" fillId="0" borderId="12" xfId="1" applyFont="1" applyBorder="1" applyAlignment="1">
      <alignment horizontal="left"/>
    </xf>
    <xf numFmtId="0" fontId="35" fillId="0" borderId="13" xfId="1" applyFont="1" applyBorder="1"/>
    <xf numFmtId="0" fontId="35" fillId="0" borderId="13" xfId="1" applyFont="1" applyBorder="1" applyAlignment="1">
      <alignment horizontal="right"/>
    </xf>
    <xf numFmtId="0" fontId="34" fillId="0" borderId="1" xfId="1" applyFont="1" applyBorder="1"/>
    <xf numFmtId="0" fontId="34" fillId="0" borderId="10" xfId="1" applyFont="1" applyBorder="1"/>
    <xf numFmtId="0" fontId="35" fillId="0" borderId="12" xfId="1" applyFont="1" applyBorder="1"/>
    <xf numFmtId="0" fontId="35" fillId="5" borderId="0" xfId="1" applyFont="1" applyFill="1" applyProtection="1">
      <protection locked="0"/>
    </xf>
    <xf numFmtId="0" fontId="35" fillId="5" borderId="13" xfId="1" applyFont="1" applyFill="1" applyBorder="1" applyProtection="1">
      <protection locked="0"/>
    </xf>
    <xf numFmtId="0" fontId="31" fillId="0" borderId="0" xfId="0" applyFont="1"/>
    <xf numFmtId="0" fontId="30" fillId="0" borderId="6" xfId="0" applyFont="1" applyBorder="1"/>
    <xf numFmtId="0" fontId="31" fillId="0" borderId="6" xfId="0" applyFont="1" applyBorder="1"/>
    <xf numFmtId="0" fontId="29" fillId="0" borderId="0" xfId="0" applyFont="1" applyAlignment="1">
      <alignment vertical="center"/>
    </xf>
    <xf numFmtId="0" fontId="0" fillId="0" borderId="0" xfId="0" applyAlignment="1">
      <alignment horizontal="left" vertical="center"/>
    </xf>
    <xf numFmtId="0" fontId="2" fillId="14" borderId="6" xfId="0" applyFont="1" applyFill="1" applyBorder="1"/>
    <xf numFmtId="0" fontId="23" fillId="12" borderId="7" xfId="1" applyFont="1" applyFill="1" applyBorder="1" applyAlignment="1">
      <alignment horizontal="center"/>
    </xf>
    <xf numFmtId="0" fontId="24" fillId="0" borderId="9" xfId="1" applyFont="1" applyBorder="1"/>
    <xf numFmtId="0" fontId="24" fillId="0" borderId="10" xfId="1" applyFont="1" applyBorder="1"/>
    <xf numFmtId="0" fontId="34" fillId="0" borderId="0" xfId="1" applyFont="1"/>
    <xf numFmtId="0" fontId="3" fillId="0" borderId="0" xfId="1"/>
    <xf numFmtId="0" fontId="35" fillId="0" borderId="0" xfId="1" applyFont="1"/>
    <xf numFmtId="0" fontId="2" fillId="15" borderId="6" xfId="0" applyFont="1" applyFill="1" applyBorder="1"/>
    <xf numFmtId="0" fontId="0" fillId="0" borderId="6" xfId="0" applyNumberFormat="1" applyBorder="1"/>
  </cellXfs>
  <cellStyles count="7">
    <cellStyle name="Comma 2" xfId="4" xr:uid="{E57BA03A-BAC9-48C7-ADDA-2405A83FF0F1}"/>
    <cellStyle name="Comma 2 2" xfId="5" xr:uid="{8B30B3C0-EDD4-422B-B9B6-B9FA0FC67429}"/>
    <cellStyle name="Hyperlink" xfId="6" builtinId="8"/>
    <cellStyle name="Hyperlink 2" xfId="3" xr:uid="{BA166169-AC4D-4E37-9C87-9D4815095F9F}"/>
    <cellStyle name="Normal" xfId="0" builtinId="0"/>
    <cellStyle name="Normal 2" xfId="2" xr:uid="{85FF8E7E-D979-4775-883A-205F10E42DE7}"/>
    <cellStyle name="Normal 3" xfId="1" xr:uid="{6BB8EB79-737A-4FFE-A68D-1A9C001CB624}"/>
  </cellStyles>
  <dxfs count="3">
    <dxf>
      <font>
        <color rgb="FF9C0006"/>
      </font>
      <fill>
        <patternFill>
          <bgColor rgb="FFFFC7CE"/>
        </patternFill>
      </fill>
    </dxf>
    <dxf>
      <numFmt numFmtId="19" formatCode="dd/mm/yyyy"/>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aredStrings" Target="sharedStrings.xml"/><Relationship Id="rId8" Type="http://schemas.openxmlformats.org/officeDocument/2006/relationships/worksheet" Target="worksheets/sheet8.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6BD9BD2A-1427-4470-83D2-7CDE733653BC}" autoFormatId="16" applyNumberFormats="0" applyBorderFormats="0" applyFontFormats="0" applyPatternFormats="0" applyAlignmentFormats="0" applyWidthHeightFormats="0">
  <queryTableRefresh nextId="6">
    <queryTableFields count="5">
      <queryTableField id="1" name="1" tableColumnId="1"/>
      <queryTableField id="2" name="China" tableColumnId="2"/>
      <queryTableField id="3" name="1368570000" tableColumnId="3"/>
      <queryTableField id="4" name="March 6, 2015" tableColumnId="4"/>
      <queryTableField id="5" name="0.189" tableColumnId="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D41ACAE-CC16-48CB-85F4-287AB807B93D}" name="Populations" displayName="Populations" ref="B10:F256" tableType="queryTable" totalsRowShown="0">
  <autoFilter ref="B10:F256" xr:uid="{8D41ACAE-CC16-48CB-85F4-287AB807B93D}"/>
  <tableColumns count="5">
    <tableColumn id="1" xr3:uid="{F9350296-EF81-4A7D-A4FC-B038A14A612D}" uniqueName="1" name="1" queryTableFieldId="1"/>
    <tableColumn id="2" xr3:uid="{E18D8C84-4DBE-4E8C-9617-0FC55471FD21}" uniqueName="2" name="China" queryTableFieldId="2" dataDxfId="2"/>
    <tableColumn id="3" xr3:uid="{65BD3E9F-46AB-4213-84A8-C2DF0D288432}" uniqueName="3" name="1368570000" queryTableFieldId="3"/>
    <tableColumn id="4" xr3:uid="{8429BD79-A8DA-42E0-B5D4-E6685400142C}" uniqueName="4" name="March 6, 2015" queryTableFieldId="4" dataDxfId="1"/>
    <tableColumn id="5" xr3:uid="{124DD0CC-1630-4616-BE32-F623D4C18CD1}" uniqueName="5" name="0.189" queryTableFieldId="5"/>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4.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C8B7E-C60D-491F-B81D-4ADED1AC92E2}">
  <sheetPr codeName="Sheet1"/>
  <dimension ref="A1:D27"/>
  <sheetViews>
    <sheetView workbookViewId="0">
      <selection activeCell="B29" sqref="B29"/>
    </sheetView>
  </sheetViews>
  <sheetFormatPr defaultRowHeight="14.4" x14ac:dyDescent="0.3"/>
  <cols>
    <col min="2" max="2" width="47.21875" bestFit="1" customWidth="1"/>
  </cols>
  <sheetData>
    <row r="1" spans="1:4" x14ac:dyDescent="0.3">
      <c r="A1" t="s">
        <v>0</v>
      </c>
    </row>
    <row r="6" spans="1:4" x14ac:dyDescent="0.3">
      <c r="A6" t="s">
        <v>1</v>
      </c>
    </row>
    <row r="8" spans="1:4" x14ac:dyDescent="0.3">
      <c r="B8" s="1" t="s">
        <v>2</v>
      </c>
      <c r="C8" s="1" t="s">
        <v>3</v>
      </c>
      <c r="D8" s="1" t="s">
        <v>4</v>
      </c>
    </row>
    <row r="9" spans="1:4" x14ac:dyDescent="0.3">
      <c r="B9" s="2" t="s">
        <v>5</v>
      </c>
      <c r="C9" s="2" t="s">
        <v>6</v>
      </c>
      <c r="D9" s="2">
        <v>43</v>
      </c>
    </row>
    <row r="10" spans="1:4" x14ac:dyDescent="0.3">
      <c r="B10" s="2" t="s">
        <v>5</v>
      </c>
      <c r="C10" s="2" t="s">
        <v>7</v>
      </c>
      <c r="D10" s="2">
        <v>59</v>
      </c>
    </row>
    <row r="11" spans="1:4" x14ac:dyDescent="0.3">
      <c r="B11" s="2" t="s">
        <v>5</v>
      </c>
      <c r="C11" s="2" t="s">
        <v>8</v>
      </c>
      <c r="D11" s="2">
        <v>72</v>
      </c>
    </row>
    <row r="12" spans="1:4" x14ac:dyDescent="0.3">
      <c r="B12" s="3" t="s">
        <v>9</v>
      </c>
      <c r="C12" s="3" t="s">
        <v>10</v>
      </c>
      <c r="D12" s="3">
        <v>119</v>
      </c>
    </row>
    <row r="13" spans="1:4" x14ac:dyDescent="0.3">
      <c r="B13" s="3" t="s">
        <v>9</v>
      </c>
      <c r="C13" s="3" t="s">
        <v>11</v>
      </c>
      <c r="D13" s="3">
        <v>175</v>
      </c>
    </row>
    <row r="14" spans="1:4" x14ac:dyDescent="0.3">
      <c r="B14" s="3" t="s">
        <v>9</v>
      </c>
      <c r="C14" s="3" t="s">
        <v>12</v>
      </c>
      <c r="D14" s="3">
        <v>192</v>
      </c>
    </row>
    <row r="15" spans="1:4" x14ac:dyDescent="0.3">
      <c r="B15" s="4" t="s">
        <v>13</v>
      </c>
      <c r="C15" s="4" t="s">
        <v>14</v>
      </c>
      <c r="D15" s="4">
        <v>240</v>
      </c>
    </row>
    <row r="16" spans="1:4" x14ac:dyDescent="0.3">
      <c r="B16" s="4" t="s">
        <v>13</v>
      </c>
      <c r="C16" s="4" t="s">
        <v>15</v>
      </c>
      <c r="D16" s="4">
        <v>405</v>
      </c>
    </row>
    <row r="17" spans="2:4" x14ac:dyDescent="0.3">
      <c r="B17" s="4" t="s">
        <v>13</v>
      </c>
      <c r="C17" s="4" t="s">
        <v>16</v>
      </c>
      <c r="D17" s="4">
        <v>522</v>
      </c>
    </row>
    <row r="19" spans="2:4" x14ac:dyDescent="0.3">
      <c r="B19" s="5" t="s">
        <v>17</v>
      </c>
      <c r="C19" s="6"/>
      <c r="D19" s="6"/>
    </row>
    <row r="20" spans="2:4" ht="15" thickBot="1" x14ac:dyDescent="0.35">
      <c r="B20" s="6"/>
      <c r="C20" s="6"/>
      <c r="D20" s="6"/>
    </row>
    <row r="21" spans="2:4" ht="15" thickBot="1" x14ac:dyDescent="0.35">
      <c r="B21" s="7" t="s">
        <v>18</v>
      </c>
      <c r="C21" s="6"/>
      <c r="D21" s="8">
        <f>AVERAGE(D9:D11)</f>
        <v>58</v>
      </c>
    </row>
    <row r="22" spans="2:4" ht="15" thickBot="1" x14ac:dyDescent="0.35">
      <c r="B22" s="6"/>
      <c r="C22" s="6"/>
      <c r="D22" s="6"/>
    </row>
    <row r="23" spans="2:4" ht="15" thickBot="1" x14ac:dyDescent="0.35">
      <c r="B23" s="7" t="s">
        <v>19</v>
      </c>
      <c r="C23" s="6"/>
      <c r="D23" s="8">
        <f>AVERAGE(D12:D14)</f>
        <v>162</v>
      </c>
    </row>
    <row r="24" spans="2:4" ht="15" thickBot="1" x14ac:dyDescent="0.35">
      <c r="B24" s="6"/>
      <c r="C24" s="6"/>
      <c r="D24" s="6"/>
    </row>
    <row r="25" spans="2:4" ht="15" thickBot="1" x14ac:dyDescent="0.35">
      <c r="B25" s="7" t="s">
        <v>20</v>
      </c>
      <c r="C25" s="6"/>
      <c r="D25" s="8">
        <f>AVERAGE(D15:D17)</f>
        <v>389</v>
      </c>
    </row>
    <row r="26" spans="2:4" ht="15" thickBot="1" x14ac:dyDescent="0.35">
      <c r="B26" s="6"/>
      <c r="C26" s="6"/>
      <c r="D26" s="6"/>
    </row>
    <row r="27" spans="2:4" ht="15" thickBot="1" x14ac:dyDescent="0.35">
      <c r="B27" s="7" t="s">
        <v>21</v>
      </c>
      <c r="C27" s="6"/>
      <c r="D27" s="9">
        <f>AVERAGE(D9:D17)</f>
        <v>203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AB77D8-5A0D-4020-A42B-CBA65995250A}">
  <sheetPr codeName="Sheet2"/>
  <dimension ref="A1:D28"/>
  <sheetViews>
    <sheetView topLeftCell="A4" workbookViewId="0">
      <selection activeCell="B29" sqref="B29"/>
    </sheetView>
  </sheetViews>
  <sheetFormatPr defaultRowHeight="14.4" x14ac:dyDescent="0.3"/>
  <cols>
    <col min="1" max="1" width="43.77734375" bestFit="1" customWidth="1"/>
    <col min="2" max="2" width="99" bestFit="1" customWidth="1"/>
    <col min="3" max="3" width="7" bestFit="1" customWidth="1"/>
  </cols>
  <sheetData>
    <row r="1" spans="1:4" ht="72" x14ac:dyDescent="0.3">
      <c r="A1" s="10" t="s">
        <v>23</v>
      </c>
    </row>
    <row r="2" spans="1:4" x14ac:dyDescent="0.3">
      <c r="A2" s="10"/>
    </row>
    <row r="4" spans="1:4" x14ac:dyDescent="0.3">
      <c r="A4" t="s">
        <v>22</v>
      </c>
    </row>
    <row r="5" spans="1:4" x14ac:dyDescent="0.3">
      <c r="A5" t="s">
        <v>24</v>
      </c>
      <c r="B5" s="7" t="s">
        <v>25</v>
      </c>
      <c r="C5" s="6"/>
      <c r="D5" s="6"/>
    </row>
    <row r="6" spans="1:4" x14ac:dyDescent="0.3">
      <c r="B6" s="7" t="s">
        <v>26</v>
      </c>
      <c r="C6" s="6"/>
      <c r="D6" s="6"/>
    </row>
    <row r="7" spans="1:4" x14ac:dyDescent="0.3">
      <c r="B7" s="5" t="s">
        <v>27</v>
      </c>
      <c r="C7" s="5" t="s">
        <v>28</v>
      </c>
      <c r="D7" s="5" t="s">
        <v>29</v>
      </c>
    </row>
    <row r="8" spans="1:4" x14ac:dyDescent="0.3">
      <c r="B8" s="7" t="s">
        <v>30</v>
      </c>
      <c r="C8" s="12">
        <v>43101</v>
      </c>
      <c r="D8" s="7">
        <v>152</v>
      </c>
    </row>
    <row r="9" spans="1:4" x14ac:dyDescent="0.3">
      <c r="B9" s="7" t="s">
        <v>31</v>
      </c>
      <c r="C9" s="12">
        <v>43101</v>
      </c>
      <c r="D9" s="7">
        <v>171</v>
      </c>
    </row>
    <row r="10" spans="1:4" x14ac:dyDescent="0.3">
      <c r="B10" s="7" t="s">
        <v>32</v>
      </c>
      <c r="C10" s="12">
        <v>43101</v>
      </c>
      <c r="D10" s="7">
        <v>110</v>
      </c>
    </row>
    <row r="11" spans="1:4" x14ac:dyDescent="0.3">
      <c r="B11" s="7" t="s">
        <v>33</v>
      </c>
      <c r="C11" s="12">
        <v>43132</v>
      </c>
      <c r="D11" s="7">
        <v>173</v>
      </c>
    </row>
    <row r="12" spans="1:4" x14ac:dyDescent="0.3">
      <c r="B12" s="7" t="s">
        <v>34</v>
      </c>
      <c r="C12" s="12">
        <v>43132</v>
      </c>
      <c r="D12" s="7">
        <v>128</v>
      </c>
    </row>
    <row r="13" spans="1:4" x14ac:dyDescent="0.3">
      <c r="B13" s="7" t="s">
        <v>35</v>
      </c>
      <c r="C13" s="12">
        <v>43132</v>
      </c>
      <c r="D13" s="7">
        <v>107</v>
      </c>
    </row>
    <row r="14" spans="1:4" x14ac:dyDescent="0.3">
      <c r="B14" s="7" t="s">
        <v>36</v>
      </c>
      <c r="C14" s="12">
        <v>43160</v>
      </c>
      <c r="D14" s="7">
        <v>213</v>
      </c>
    </row>
    <row r="15" spans="1:4" x14ac:dyDescent="0.3">
      <c r="B15" s="7" t="s">
        <v>37</v>
      </c>
      <c r="C15" s="12">
        <v>43160</v>
      </c>
      <c r="D15" s="7">
        <v>238</v>
      </c>
    </row>
    <row r="16" spans="1:4" x14ac:dyDescent="0.3">
      <c r="B16" s="7" t="s">
        <v>38</v>
      </c>
      <c r="C16" s="12">
        <v>43160</v>
      </c>
      <c r="D16" s="7">
        <v>131</v>
      </c>
    </row>
    <row r="18" spans="2:4" x14ac:dyDescent="0.3">
      <c r="B18" s="7" t="s">
        <v>39</v>
      </c>
      <c r="C18" s="6"/>
      <c r="D18" s="6"/>
    </row>
    <row r="20" spans="2:4" x14ac:dyDescent="0.3">
      <c r="B20" s="12">
        <v>43101</v>
      </c>
      <c r="C20" s="13">
        <f>AVERAGE(D8:D10)</f>
        <v>144.33333333333334</v>
      </c>
      <c r="D20" s="7"/>
    </row>
    <row r="21" spans="2:4" x14ac:dyDescent="0.3">
      <c r="B21" s="12">
        <v>43132</v>
      </c>
      <c r="C21" s="13">
        <f>AVERAGE(D11:D13)</f>
        <v>136</v>
      </c>
      <c r="D21" s="7"/>
    </row>
    <row r="22" spans="2:4" x14ac:dyDescent="0.3">
      <c r="B22" s="12">
        <v>43160</v>
      </c>
      <c r="C22" s="13">
        <f>AVERAGE(D14:D16)</f>
        <v>194</v>
      </c>
      <c r="D22" s="7"/>
    </row>
    <row r="25" spans="2:4" x14ac:dyDescent="0.3">
      <c r="B25" s="7" t="s">
        <v>40</v>
      </c>
      <c r="C25" s="6"/>
      <c r="D25" s="6"/>
    </row>
    <row r="27" spans="2:4" x14ac:dyDescent="0.3">
      <c r="B27" s="7" t="s">
        <v>41</v>
      </c>
      <c r="C27" s="13">
        <f>SUM(D8:D16)/COUNT(D8:D16)</f>
        <v>158.11111111111111</v>
      </c>
      <c r="D27" s="7"/>
    </row>
    <row r="28" spans="2:4" x14ac:dyDescent="0.3">
      <c r="B28" s="7" t="s">
        <v>42</v>
      </c>
      <c r="C28" s="13">
        <f>AVERAGE(D8:D16)</f>
        <v>158.11111111111111</v>
      </c>
      <c r="D28" s="7"/>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DE5216-8763-45F1-98E3-C0D279E34E7D}">
  <sheetPr codeName="Sheet3"/>
  <dimension ref="A1:H20"/>
  <sheetViews>
    <sheetView workbookViewId="0">
      <selection activeCell="C18" sqref="C18"/>
    </sheetView>
  </sheetViews>
  <sheetFormatPr defaultRowHeight="14.4" x14ac:dyDescent="0.3"/>
  <cols>
    <col min="1" max="1" width="31.5546875" customWidth="1"/>
  </cols>
  <sheetData>
    <row r="1" spans="1:8" ht="94.8" customHeight="1" x14ac:dyDescent="0.3">
      <c r="A1" s="15" t="s">
        <v>43</v>
      </c>
    </row>
    <row r="3" spans="1:8" x14ac:dyDescent="0.3">
      <c r="A3" t="s">
        <v>1</v>
      </c>
      <c r="B3" s="17" t="s">
        <v>44</v>
      </c>
      <c r="C3" s="18"/>
      <c r="D3" s="18"/>
      <c r="E3" s="18"/>
      <c r="F3" s="18"/>
      <c r="G3" s="18"/>
      <c r="H3" s="18"/>
    </row>
    <row r="4" spans="1:8" x14ac:dyDescent="0.3">
      <c r="B4" s="19" t="s">
        <v>45</v>
      </c>
      <c r="C4" s="18"/>
      <c r="D4" s="18"/>
      <c r="E4" s="18"/>
      <c r="F4" s="18"/>
      <c r="G4" s="18"/>
      <c r="H4" s="18"/>
    </row>
    <row r="5" spans="1:8" x14ac:dyDescent="0.3">
      <c r="B5" s="20" t="s">
        <v>46</v>
      </c>
      <c r="C5" s="21" t="s">
        <v>47</v>
      </c>
      <c r="D5" s="18"/>
      <c r="E5" s="18"/>
      <c r="F5" s="18"/>
      <c r="G5" s="18"/>
      <c r="H5" s="18"/>
    </row>
    <row r="6" spans="1:8" x14ac:dyDescent="0.3">
      <c r="B6" s="20" t="s">
        <v>48</v>
      </c>
      <c r="C6" s="22">
        <v>7</v>
      </c>
      <c r="D6" s="18"/>
      <c r="E6" s="18"/>
      <c r="F6" s="18"/>
      <c r="G6" s="18"/>
      <c r="H6" s="18"/>
    </row>
    <row r="7" spans="1:8" x14ac:dyDescent="0.3">
      <c r="B7" s="20" t="s">
        <v>49</v>
      </c>
      <c r="C7" s="22">
        <v>5</v>
      </c>
      <c r="D7" s="18"/>
      <c r="E7" s="18"/>
      <c r="F7" s="18"/>
      <c r="G7" s="18"/>
      <c r="H7" s="18"/>
    </row>
    <row r="8" spans="1:8" x14ac:dyDescent="0.3">
      <c r="B8" s="20" t="s">
        <v>50</v>
      </c>
      <c r="C8" s="22">
        <v>6</v>
      </c>
      <c r="D8" s="18"/>
      <c r="E8" s="18"/>
      <c r="F8" s="18"/>
      <c r="G8" s="18"/>
      <c r="H8" s="18"/>
    </row>
    <row r="9" spans="1:8" x14ac:dyDescent="0.3">
      <c r="B9" s="20" t="s">
        <v>51</v>
      </c>
      <c r="C9" s="22">
        <v>4</v>
      </c>
      <c r="D9" s="18"/>
      <c r="E9" s="18"/>
      <c r="F9" s="18"/>
      <c r="G9" s="18"/>
      <c r="H9" s="18"/>
    </row>
    <row r="10" spans="1:8" x14ac:dyDescent="0.3">
      <c r="B10" s="20" t="s">
        <v>52</v>
      </c>
      <c r="C10" s="22" t="s">
        <v>53</v>
      </c>
      <c r="D10" s="18"/>
      <c r="E10" s="18"/>
      <c r="F10" s="18"/>
      <c r="G10" s="18"/>
      <c r="H10" s="18"/>
    </row>
    <row r="11" spans="1:8" x14ac:dyDescent="0.3">
      <c r="B11" s="20" t="s">
        <v>54</v>
      </c>
      <c r="C11" s="22" t="s">
        <v>55</v>
      </c>
      <c r="D11" s="18"/>
      <c r="E11" s="18"/>
      <c r="F11" s="18"/>
      <c r="G11" s="18"/>
      <c r="H11" s="18"/>
    </row>
    <row r="12" spans="1:8" x14ac:dyDescent="0.3">
      <c r="B12" s="20" t="s">
        <v>56</v>
      </c>
      <c r="C12" s="22" t="s">
        <v>56</v>
      </c>
      <c r="D12" s="18"/>
      <c r="E12" s="18"/>
      <c r="F12" s="18"/>
      <c r="G12" s="18"/>
      <c r="H12" s="18"/>
    </row>
    <row r="13" spans="1:8" x14ac:dyDescent="0.3">
      <c r="B13" s="18"/>
      <c r="C13" s="18"/>
      <c r="D13" s="18"/>
      <c r="E13" s="18"/>
      <c r="F13" s="18"/>
      <c r="G13" s="18"/>
      <c r="H13" s="18"/>
    </row>
    <row r="14" spans="1:8" x14ac:dyDescent="0.3">
      <c r="B14" s="19" t="s">
        <v>57</v>
      </c>
      <c r="C14" s="18"/>
      <c r="D14" s="18"/>
      <c r="E14" s="18"/>
      <c r="F14" s="18"/>
      <c r="G14" s="18"/>
      <c r="H14" s="18"/>
    </row>
    <row r="15" spans="1:8" x14ac:dyDescent="0.3">
      <c r="B15" s="18"/>
      <c r="C15" s="18"/>
      <c r="D15" s="18"/>
      <c r="E15" s="18"/>
      <c r="F15" s="18"/>
      <c r="G15" s="18"/>
      <c r="H15" s="18"/>
    </row>
    <row r="16" spans="1:8" ht="15" thickBot="1" x14ac:dyDescent="0.35">
      <c r="B16" s="19" t="s">
        <v>58</v>
      </c>
      <c r="C16" s="19" t="s">
        <v>59</v>
      </c>
      <c r="D16" s="18"/>
      <c r="E16" s="18"/>
      <c r="F16" s="18"/>
      <c r="G16" s="18"/>
      <c r="H16" s="18"/>
    </row>
    <row r="17" spans="2:8" ht="15" thickBot="1" x14ac:dyDescent="0.35">
      <c r="B17" s="19" t="s">
        <v>47</v>
      </c>
      <c r="C17" s="23">
        <f>COUNT(C6:C12)</f>
        <v>4</v>
      </c>
      <c r="D17" s="19"/>
      <c r="E17" s="18"/>
      <c r="F17" s="18"/>
      <c r="G17" s="18"/>
      <c r="H17" s="18"/>
    </row>
    <row r="18" spans="2:8" x14ac:dyDescent="0.3">
      <c r="B18" s="18"/>
      <c r="C18" s="18"/>
      <c r="D18" s="18"/>
      <c r="E18" s="18"/>
      <c r="F18" s="18"/>
      <c r="G18" s="18"/>
      <c r="H18" s="18"/>
    </row>
    <row r="19" spans="2:8" ht="15" thickBot="1" x14ac:dyDescent="0.35">
      <c r="B19" s="19" t="s">
        <v>58</v>
      </c>
      <c r="C19" s="19" t="s">
        <v>60</v>
      </c>
      <c r="D19" s="18"/>
      <c r="E19" s="18"/>
      <c r="F19" s="18"/>
      <c r="G19" s="18"/>
      <c r="H19" s="18"/>
    </row>
    <row r="20" spans="2:8" ht="15" thickBot="1" x14ac:dyDescent="0.35">
      <c r="B20" s="19" t="s">
        <v>47</v>
      </c>
      <c r="C20" s="23">
        <f>COUNTA(C6:C12)</f>
        <v>7</v>
      </c>
      <c r="D20" s="19"/>
      <c r="E20" s="18"/>
      <c r="F20" s="18"/>
      <c r="G20" s="18"/>
      <c r="H20" s="18"/>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751AF9-3CBC-4DD8-BFB2-0EEC37368E9B}">
  <sheetPr codeName="Sheet4"/>
  <dimension ref="A1:G29"/>
  <sheetViews>
    <sheetView topLeftCell="A10" workbookViewId="0">
      <selection activeCell="B23" sqref="B23"/>
    </sheetView>
  </sheetViews>
  <sheetFormatPr defaultRowHeight="14.4" x14ac:dyDescent="0.3"/>
  <cols>
    <col min="1" max="1" width="38.88671875" bestFit="1" customWidth="1"/>
    <col min="2" max="2" width="64.44140625" bestFit="1" customWidth="1"/>
  </cols>
  <sheetData>
    <row r="1" spans="1:7" ht="115.2" x14ac:dyDescent="0.3">
      <c r="A1" s="10" t="s">
        <v>61</v>
      </c>
    </row>
    <row r="3" spans="1:7" x14ac:dyDescent="0.3">
      <c r="A3" t="s">
        <v>1</v>
      </c>
      <c r="B3" s="24" t="s">
        <v>62</v>
      </c>
      <c r="C3" s="25"/>
      <c r="D3" s="25"/>
      <c r="E3" s="25"/>
      <c r="F3" s="25"/>
      <c r="G3" s="25"/>
    </row>
    <row r="4" spans="1:7" x14ac:dyDescent="0.3">
      <c r="B4" s="24" t="s">
        <v>63</v>
      </c>
      <c r="C4" s="25"/>
      <c r="D4" s="25"/>
      <c r="E4" s="25"/>
      <c r="F4" s="25"/>
      <c r="G4" s="25"/>
    </row>
    <row r="5" spans="1:7" ht="24" x14ac:dyDescent="0.3">
      <c r="B5" s="26" t="s">
        <v>64</v>
      </c>
      <c r="C5" s="26" t="s">
        <v>65</v>
      </c>
      <c r="D5" s="26" t="s">
        <v>66</v>
      </c>
      <c r="E5" s="25"/>
      <c r="F5" s="25"/>
      <c r="G5" s="25"/>
    </row>
    <row r="6" spans="1:7" ht="36" x14ac:dyDescent="0.3">
      <c r="B6" s="27">
        <v>101</v>
      </c>
      <c r="C6" s="27" t="s">
        <v>67</v>
      </c>
      <c r="D6" s="28">
        <v>78022</v>
      </c>
      <c r="E6" s="25"/>
      <c r="F6" s="25"/>
      <c r="G6" s="25"/>
    </row>
    <row r="7" spans="1:7" ht="24" x14ac:dyDescent="0.3">
      <c r="B7" s="27">
        <v>102</v>
      </c>
      <c r="C7" s="27" t="s">
        <v>68</v>
      </c>
      <c r="D7" s="28">
        <v>99819</v>
      </c>
      <c r="E7" s="25"/>
      <c r="F7" s="25"/>
      <c r="G7" s="25"/>
    </row>
    <row r="8" spans="1:7" ht="24" x14ac:dyDescent="0.3">
      <c r="B8" s="27">
        <v>103</v>
      </c>
      <c r="C8" s="27" t="s">
        <v>69</v>
      </c>
      <c r="D8" s="29" t="s">
        <v>70</v>
      </c>
      <c r="E8" s="25"/>
      <c r="F8" s="25"/>
      <c r="G8" s="25"/>
    </row>
    <row r="9" spans="1:7" x14ac:dyDescent="0.3">
      <c r="B9" s="27">
        <v>104</v>
      </c>
      <c r="C9" s="27" t="s">
        <v>71</v>
      </c>
      <c r="D9" s="28">
        <v>27522</v>
      </c>
      <c r="E9" s="25"/>
      <c r="F9" s="25"/>
      <c r="G9" s="25"/>
    </row>
    <row r="10" spans="1:7" ht="24" x14ac:dyDescent="0.3">
      <c r="B10" s="27">
        <v>105</v>
      </c>
      <c r="C10" s="27" t="s">
        <v>72</v>
      </c>
      <c r="D10" s="30">
        <v>0</v>
      </c>
      <c r="E10" s="25"/>
      <c r="F10" s="25"/>
      <c r="G10" s="25"/>
    </row>
    <row r="11" spans="1:7" ht="24" x14ac:dyDescent="0.3">
      <c r="B11" s="27">
        <v>106</v>
      </c>
      <c r="C11" s="27" t="s">
        <v>73</v>
      </c>
      <c r="D11" s="30"/>
      <c r="E11" s="25"/>
      <c r="F11" s="25"/>
      <c r="G11" s="25"/>
    </row>
    <row r="12" spans="1:7" ht="24" x14ac:dyDescent="0.3">
      <c r="B12" s="27">
        <v>107</v>
      </c>
      <c r="C12" s="27" t="s">
        <v>74</v>
      </c>
      <c r="D12" s="30">
        <v>0</v>
      </c>
      <c r="E12" s="25"/>
      <c r="F12" s="25"/>
      <c r="G12" s="25"/>
    </row>
    <row r="13" spans="1:7" ht="24" x14ac:dyDescent="0.3">
      <c r="B13" s="27">
        <v>108</v>
      </c>
      <c r="C13" s="27" t="s">
        <v>75</v>
      </c>
      <c r="D13" s="28">
        <v>88041</v>
      </c>
      <c r="E13" s="25"/>
      <c r="F13" s="25"/>
      <c r="G13" s="25"/>
    </row>
    <row r="14" spans="1:7" ht="36" x14ac:dyDescent="0.3">
      <c r="B14" s="27">
        <v>109</v>
      </c>
      <c r="C14" s="27" t="s">
        <v>76</v>
      </c>
      <c r="D14" s="28">
        <v>81831</v>
      </c>
      <c r="E14" s="25"/>
      <c r="F14" s="25"/>
      <c r="G14" s="25"/>
    </row>
    <row r="15" spans="1:7" ht="24" x14ac:dyDescent="0.3">
      <c r="B15" s="27">
        <v>110</v>
      </c>
      <c r="C15" s="27" t="s">
        <v>77</v>
      </c>
      <c r="D15" s="29" t="s">
        <v>70</v>
      </c>
      <c r="E15" s="25"/>
      <c r="F15" s="25"/>
      <c r="G15" s="25"/>
    </row>
    <row r="16" spans="1:7" ht="24" x14ac:dyDescent="0.3">
      <c r="B16" s="27">
        <v>111</v>
      </c>
      <c r="C16" s="27" t="s">
        <v>78</v>
      </c>
      <c r="D16" s="28"/>
      <c r="E16" s="25"/>
      <c r="F16" s="25"/>
      <c r="G16" s="25"/>
    </row>
    <row r="17" spans="2:7" ht="36" x14ac:dyDescent="0.3">
      <c r="B17" s="27">
        <v>112</v>
      </c>
      <c r="C17" s="27" t="s">
        <v>79</v>
      </c>
      <c r="D17" s="28">
        <v>26624</v>
      </c>
      <c r="E17" s="25"/>
      <c r="F17" s="25"/>
      <c r="G17" s="25"/>
    </row>
    <row r="18" spans="2:7" ht="36" x14ac:dyDescent="0.3">
      <c r="B18" s="27">
        <v>113</v>
      </c>
      <c r="C18" s="27" t="s">
        <v>80</v>
      </c>
      <c r="D18" s="28">
        <v>92885</v>
      </c>
      <c r="E18" s="25"/>
      <c r="F18" s="25"/>
      <c r="G18" s="25"/>
    </row>
    <row r="19" spans="2:7" ht="36" x14ac:dyDescent="0.3">
      <c r="B19" s="27">
        <v>114</v>
      </c>
      <c r="C19" s="27" t="s">
        <v>81</v>
      </c>
      <c r="D19" s="30">
        <v>0</v>
      </c>
      <c r="E19" s="25"/>
      <c r="F19" s="25"/>
      <c r="G19" s="25"/>
    </row>
    <row r="20" spans="2:7" x14ac:dyDescent="0.3">
      <c r="B20" s="25"/>
      <c r="C20" s="25"/>
      <c r="D20" s="25"/>
      <c r="E20" s="25"/>
      <c r="F20" s="25"/>
      <c r="G20" s="25"/>
    </row>
    <row r="21" spans="2:7" x14ac:dyDescent="0.3">
      <c r="B21" s="24" t="s">
        <v>82</v>
      </c>
      <c r="C21" s="25"/>
      <c r="D21" s="25"/>
      <c r="E21" s="25"/>
      <c r="F21" s="25"/>
      <c r="G21" s="25"/>
    </row>
    <row r="22" spans="2:7" ht="15" thickBot="1" x14ac:dyDescent="0.35">
      <c r="B22" s="25" t="s">
        <v>58</v>
      </c>
      <c r="C22" s="25" t="s">
        <v>83</v>
      </c>
      <c r="D22" s="25"/>
      <c r="E22" s="25"/>
      <c r="F22" s="25"/>
      <c r="G22" s="25"/>
    </row>
    <row r="23" spans="2:7" ht="15" thickBot="1" x14ac:dyDescent="0.35">
      <c r="B23" s="25" t="s">
        <v>47</v>
      </c>
      <c r="C23" s="31">
        <f>COUNT(D6:D19)</f>
        <v>10</v>
      </c>
      <c r="D23" s="25"/>
      <c r="E23" s="25"/>
      <c r="F23" s="25"/>
      <c r="G23" s="25"/>
    </row>
    <row r="24" spans="2:7" x14ac:dyDescent="0.3">
      <c r="B24" s="25"/>
      <c r="C24" s="25"/>
      <c r="D24" s="25"/>
      <c r="E24" s="25"/>
      <c r="F24" s="25"/>
      <c r="G24" s="25"/>
    </row>
    <row r="25" spans="2:7" x14ac:dyDescent="0.3">
      <c r="B25" s="25"/>
      <c r="C25" s="25" t="s">
        <v>84</v>
      </c>
      <c r="D25" s="25"/>
      <c r="E25" s="25"/>
      <c r="F25" s="25"/>
      <c r="G25" s="25"/>
    </row>
    <row r="26" spans="2:7" x14ac:dyDescent="0.3">
      <c r="B26" s="25"/>
      <c r="C26" s="25"/>
      <c r="D26" s="25"/>
      <c r="E26" s="25"/>
      <c r="F26" s="25"/>
      <c r="G26" s="25"/>
    </row>
    <row r="27" spans="2:7" x14ac:dyDescent="0.3">
      <c r="B27" s="25"/>
      <c r="C27" s="25"/>
      <c r="D27" s="25"/>
      <c r="E27" s="25"/>
      <c r="F27" s="25"/>
      <c r="G27" s="25"/>
    </row>
    <row r="28" spans="2:7" ht="15" thickBot="1" x14ac:dyDescent="0.35">
      <c r="B28" s="25" t="s">
        <v>58</v>
      </c>
      <c r="C28" s="25" t="s">
        <v>85</v>
      </c>
      <c r="D28" s="25"/>
      <c r="E28" s="25"/>
      <c r="F28" s="25"/>
      <c r="G28" s="25"/>
    </row>
    <row r="29" spans="2:7" ht="15" thickBot="1" x14ac:dyDescent="0.35">
      <c r="B29" s="25" t="s">
        <v>47</v>
      </c>
      <c r="C29" s="31">
        <f>COUNTA(D6:D19)</f>
        <v>12</v>
      </c>
      <c r="D29" s="25"/>
      <c r="E29" s="25"/>
      <c r="F29" s="25"/>
      <c r="G29" s="2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8B9DF-E27D-4FBB-9C01-8C24009DFFF0}">
  <sheetPr codeName="Sheet5"/>
  <dimension ref="A1:F29"/>
  <sheetViews>
    <sheetView topLeftCell="A2" workbookViewId="0">
      <selection activeCell="B27" sqref="B27"/>
    </sheetView>
  </sheetViews>
  <sheetFormatPr defaultRowHeight="14.4" x14ac:dyDescent="0.3"/>
  <cols>
    <col min="1" max="1" width="30.6640625" customWidth="1"/>
    <col min="2" max="2" width="14.6640625" customWidth="1"/>
  </cols>
  <sheetData>
    <row r="1" spans="1:6" ht="86.4" x14ac:dyDescent="0.3">
      <c r="A1" s="14" t="s">
        <v>86</v>
      </c>
    </row>
    <row r="3" spans="1:6" x14ac:dyDescent="0.3">
      <c r="A3" t="s">
        <v>1</v>
      </c>
      <c r="B3" s="19" t="s">
        <v>87</v>
      </c>
      <c r="C3" s="18"/>
      <c r="D3" s="18"/>
      <c r="E3" s="18"/>
      <c r="F3" s="18"/>
    </row>
    <row r="4" spans="1:6" ht="15" thickBot="1" x14ac:dyDescent="0.35">
      <c r="B4" s="18"/>
      <c r="C4" s="18"/>
      <c r="D4" s="18"/>
      <c r="E4" s="18"/>
      <c r="F4" s="18"/>
    </row>
    <row r="5" spans="1:6" x14ac:dyDescent="0.3">
      <c r="B5" s="32"/>
      <c r="C5" s="18"/>
      <c r="D5" s="18"/>
      <c r="E5" s="18"/>
      <c r="F5" s="18"/>
    </row>
    <row r="6" spans="1:6" x14ac:dyDescent="0.3">
      <c r="B6" s="33" t="s">
        <v>88</v>
      </c>
      <c r="C6" s="18"/>
      <c r="D6" s="18"/>
      <c r="E6" s="18"/>
      <c r="F6" s="18"/>
    </row>
    <row r="7" spans="1:6" x14ac:dyDescent="0.3">
      <c r="B7" s="33">
        <v>4</v>
      </c>
      <c r="C7" s="18"/>
      <c r="D7" s="18"/>
      <c r="E7" s="18"/>
      <c r="F7" s="18"/>
    </row>
    <row r="8" spans="1:6" x14ac:dyDescent="0.3">
      <c r="B8" s="33"/>
      <c r="C8" s="18"/>
      <c r="D8" s="18"/>
      <c r="E8" s="18"/>
      <c r="F8" s="18"/>
    </row>
    <row r="9" spans="1:6" x14ac:dyDescent="0.3">
      <c r="B9" s="33">
        <v>3</v>
      </c>
      <c r="C9" s="18"/>
      <c r="D9" s="18"/>
      <c r="E9" s="18"/>
      <c r="F9" s="18"/>
    </row>
    <row r="10" spans="1:6" x14ac:dyDescent="0.3">
      <c r="B10" s="33"/>
      <c r="C10" s="18"/>
      <c r="D10" s="18"/>
      <c r="E10" s="18"/>
      <c r="F10" s="18"/>
    </row>
    <row r="11" spans="1:6" x14ac:dyDescent="0.3">
      <c r="B11" s="33" t="s">
        <v>89</v>
      </c>
      <c r="C11" s="18"/>
      <c r="D11" s="18"/>
      <c r="E11" s="18"/>
      <c r="F11" s="18"/>
    </row>
    <row r="12" spans="1:6" x14ac:dyDescent="0.3">
      <c r="B12" s="33"/>
      <c r="C12" s="18"/>
      <c r="D12" s="18"/>
      <c r="E12" s="18"/>
      <c r="F12" s="18"/>
    </row>
    <row r="13" spans="1:6" x14ac:dyDescent="0.3">
      <c r="B13" s="33" t="e">
        <v>#DIV/0!</v>
      </c>
      <c r="C13" s="18"/>
      <c r="D13" s="18"/>
      <c r="E13" s="18"/>
      <c r="F13" s="18"/>
    </row>
    <row r="14" spans="1:6" x14ac:dyDescent="0.3">
      <c r="B14" s="33" t="s">
        <v>90</v>
      </c>
      <c r="C14" s="18"/>
      <c r="D14" s="18"/>
      <c r="E14" s="18"/>
      <c r="F14" s="18"/>
    </row>
    <row r="15" spans="1:6" ht="15" thickBot="1" x14ac:dyDescent="0.35">
      <c r="B15" s="34" t="s">
        <v>91</v>
      </c>
      <c r="C15" s="18"/>
      <c r="D15" s="18"/>
      <c r="E15" s="18"/>
      <c r="F15" s="18"/>
    </row>
    <row r="16" spans="1:6" x14ac:dyDescent="0.3">
      <c r="B16" s="18"/>
      <c r="C16" s="18"/>
      <c r="D16" s="18"/>
      <c r="E16" s="18"/>
      <c r="F16" s="18"/>
    </row>
    <row r="17" spans="2:6" x14ac:dyDescent="0.3">
      <c r="B17" s="19" t="s">
        <v>92</v>
      </c>
      <c r="C17" s="18"/>
      <c r="D17" s="18"/>
      <c r="E17" s="18"/>
      <c r="F17" s="18"/>
    </row>
    <row r="18" spans="2:6" x14ac:dyDescent="0.3">
      <c r="B18" s="18"/>
      <c r="C18" s="18"/>
      <c r="D18" s="18"/>
      <c r="E18" s="18"/>
      <c r="F18" s="18"/>
    </row>
    <row r="19" spans="2:6" x14ac:dyDescent="0.3">
      <c r="B19" s="19" t="s">
        <v>93</v>
      </c>
      <c r="C19" s="18"/>
      <c r="D19" s="18"/>
      <c r="E19" s="18"/>
      <c r="F19" s="18"/>
    </row>
    <row r="20" spans="2:6" x14ac:dyDescent="0.3">
      <c r="B20" s="35">
        <f>COUNT(B5:B15)</f>
        <v>2</v>
      </c>
      <c r="C20" s="19"/>
      <c r="D20" s="18"/>
      <c r="E20" s="18"/>
      <c r="F20" s="18"/>
    </row>
    <row r="21" spans="2:6" x14ac:dyDescent="0.3">
      <c r="B21" s="18"/>
      <c r="C21" s="18"/>
      <c r="D21" s="18"/>
      <c r="E21" s="18"/>
      <c r="F21" s="18"/>
    </row>
    <row r="22" spans="2:6" x14ac:dyDescent="0.3">
      <c r="B22" s="19" t="s">
        <v>94</v>
      </c>
      <c r="C22" s="18"/>
      <c r="D22" s="18"/>
      <c r="E22" s="18"/>
      <c r="F22" s="18"/>
    </row>
    <row r="23" spans="2:6" x14ac:dyDescent="0.3">
      <c r="B23" s="35">
        <f>COUNTBLANK(B5:B15)</f>
        <v>4</v>
      </c>
      <c r="C23" s="19"/>
      <c r="D23" s="18"/>
      <c r="E23" s="18"/>
      <c r="F23" s="18"/>
    </row>
    <row r="24" spans="2:6" x14ac:dyDescent="0.3">
      <c r="B24" s="18"/>
      <c r="C24" s="18"/>
      <c r="D24" s="18"/>
      <c r="E24" s="18"/>
      <c r="F24" s="18"/>
    </row>
    <row r="25" spans="2:6" x14ac:dyDescent="0.3">
      <c r="B25" s="19" t="s">
        <v>95</v>
      </c>
      <c r="C25" s="18"/>
      <c r="D25" s="18"/>
      <c r="E25" s="18"/>
      <c r="F25" s="18"/>
    </row>
    <row r="26" spans="2:6" x14ac:dyDescent="0.3">
      <c r="B26" s="35">
        <f>COUNTA(B5:B15) + COUNTBLANK(B5:B15) - COUNT(B5:B15)</f>
        <v>9</v>
      </c>
      <c r="C26" s="19"/>
      <c r="D26" s="18"/>
      <c r="E26" s="18"/>
      <c r="F26" s="18"/>
    </row>
    <row r="27" spans="2:6" x14ac:dyDescent="0.3">
      <c r="B27" s="18"/>
      <c r="C27" s="18"/>
      <c r="D27" s="18"/>
      <c r="E27" s="18"/>
      <c r="F27" s="18"/>
    </row>
    <row r="28" spans="2:6" x14ac:dyDescent="0.3">
      <c r="B28" s="19" t="s">
        <v>96</v>
      </c>
      <c r="C28" s="18"/>
      <c r="D28" s="18"/>
      <c r="E28" s="18"/>
      <c r="F28" s="18"/>
    </row>
    <row r="29" spans="2:6" x14ac:dyDescent="0.3">
      <c r="B29">
        <f>COUNTA(B5:B15) +COUNTBLANK(B5:B15)</f>
        <v>11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F0A386-85AA-40F7-ACB8-029DCBD3B07D}">
  <sheetPr codeName="Sheet6"/>
  <dimension ref="A1:L24"/>
  <sheetViews>
    <sheetView workbookViewId="0">
      <selection activeCell="C25" sqref="C25"/>
    </sheetView>
  </sheetViews>
  <sheetFormatPr defaultRowHeight="14.4" x14ac:dyDescent="0.3"/>
  <cols>
    <col min="1" max="1" width="30.33203125" customWidth="1"/>
    <col min="2" max="2" width="43.44140625" bestFit="1" customWidth="1"/>
  </cols>
  <sheetData>
    <row r="1" spans="1:12" ht="43.2" x14ac:dyDescent="0.3">
      <c r="A1" s="10" t="s">
        <v>97</v>
      </c>
    </row>
    <row r="3" spans="1:12" x14ac:dyDescent="0.3">
      <c r="A3" t="s">
        <v>1</v>
      </c>
      <c r="B3" s="36" t="s">
        <v>98</v>
      </c>
    </row>
    <row r="4" spans="1:12" x14ac:dyDescent="0.3">
      <c r="B4" s="37" t="s">
        <v>99</v>
      </c>
      <c r="C4" s="37">
        <v>101</v>
      </c>
      <c r="D4" s="37">
        <v>102</v>
      </c>
      <c r="E4" s="37">
        <v>103</v>
      </c>
      <c r="F4" s="37">
        <v>104</v>
      </c>
      <c r="G4" s="37">
        <v>105</v>
      </c>
      <c r="H4" s="37">
        <v>106</v>
      </c>
      <c r="I4" s="37">
        <v>107</v>
      </c>
      <c r="J4" s="37">
        <v>108</v>
      </c>
      <c r="K4" s="37">
        <v>109</v>
      </c>
      <c r="L4" s="37">
        <v>110</v>
      </c>
    </row>
    <row r="5" spans="1:12" x14ac:dyDescent="0.3">
      <c r="B5" s="37" t="s">
        <v>100</v>
      </c>
      <c r="C5" s="38" t="s">
        <v>101</v>
      </c>
      <c r="D5" s="38" t="s">
        <v>102</v>
      </c>
      <c r="E5" s="38" t="s">
        <v>103</v>
      </c>
      <c r="F5" s="38" t="s">
        <v>104</v>
      </c>
      <c r="G5" s="38" t="s">
        <v>105</v>
      </c>
      <c r="H5" s="38" t="s">
        <v>106</v>
      </c>
      <c r="I5" s="38" t="s">
        <v>107</v>
      </c>
      <c r="J5" s="38" t="s">
        <v>108</v>
      </c>
      <c r="K5" s="38" t="s">
        <v>109</v>
      </c>
      <c r="L5" s="38" t="s">
        <v>110</v>
      </c>
    </row>
    <row r="6" spans="1:12" x14ac:dyDescent="0.3">
      <c r="B6" s="37" t="s">
        <v>111</v>
      </c>
      <c r="C6" s="38" t="s">
        <v>112</v>
      </c>
      <c r="D6" s="38" t="s">
        <v>113</v>
      </c>
      <c r="E6" s="38" t="s">
        <v>114</v>
      </c>
      <c r="F6" s="38" t="s">
        <v>115</v>
      </c>
      <c r="G6" s="38" t="s">
        <v>112</v>
      </c>
      <c r="H6" s="38" t="s">
        <v>113</v>
      </c>
      <c r="I6" s="38" t="s">
        <v>114</v>
      </c>
      <c r="J6" s="38" t="s">
        <v>115</v>
      </c>
      <c r="K6" s="38" t="s">
        <v>112</v>
      </c>
      <c r="L6" s="38" t="s">
        <v>113</v>
      </c>
    </row>
    <row r="7" spans="1:12" x14ac:dyDescent="0.3">
      <c r="B7" s="37" t="s">
        <v>116</v>
      </c>
      <c r="C7" s="38">
        <v>50000</v>
      </c>
      <c r="D7" s="38">
        <v>55000</v>
      </c>
      <c r="E7" s="38">
        <v>60000</v>
      </c>
      <c r="F7" s="38">
        <v>65000</v>
      </c>
      <c r="G7" s="38">
        <v>70000</v>
      </c>
      <c r="H7" s="38">
        <v>75000</v>
      </c>
      <c r="I7" s="38">
        <v>80000</v>
      </c>
      <c r="J7" s="38">
        <v>85000</v>
      </c>
      <c r="K7" s="38">
        <v>90000</v>
      </c>
      <c r="L7" s="38">
        <v>95000</v>
      </c>
    </row>
    <row r="8" spans="1:12" x14ac:dyDescent="0.3">
      <c r="B8" s="37" t="s">
        <v>117</v>
      </c>
      <c r="C8" s="38">
        <v>2000</v>
      </c>
      <c r="D8" s="38">
        <v>2500</v>
      </c>
      <c r="E8" s="38">
        <v>3000</v>
      </c>
      <c r="F8" s="38">
        <v>3500</v>
      </c>
      <c r="G8" s="38">
        <v>4000</v>
      </c>
      <c r="H8" s="38">
        <v>4500</v>
      </c>
      <c r="I8" s="38">
        <v>5000</v>
      </c>
      <c r="J8" s="38">
        <v>5500</v>
      </c>
      <c r="K8" s="38">
        <v>6000</v>
      </c>
      <c r="L8" s="38">
        <v>6500</v>
      </c>
    </row>
    <row r="9" spans="1:12" x14ac:dyDescent="0.3">
      <c r="B9" s="37" t="s">
        <v>118</v>
      </c>
      <c r="C9" s="38">
        <v>52000</v>
      </c>
      <c r="D9" s="38">
        <v>57500</v>
      </c>
      <c r="E9" s="38">
        <v>63000</v>
      </c>
      <c r="F9" s="38">
        <v>685000</v>
      </c>
      <c r="G9" s="38">
        <v>74000</v>
      </c>
      <c r="H9" s="38">
        <v>79500</v>
      </c>
      <c r="I9" s="38">
        <v>85000</v>
      </c>
      <c r="J9" s="38">
        <v>90500</v>
      </c>
      <c r="K9" s="38">
        <v>96000</v>
      </c>
      <c r="L9" s="38">
        <v>101500</v>
      </c>
    </row>
    <row r="11" spans="1:12" x14ac:dyDescent="0.3">
      <c r="B11" s="36" t="s">
        <v>119</v>
      </c>
    </row>
    <row r="12" spans="1:12" x14ac:dyDescent="0.3">
      <c r="C12" s="36"/>
      <c r="D12" s="36"/>
    </row>
    <row r="13" spans="1:12" x14ac:dyDescent="0.3">
      <c r="B13" s="16" t="s">
        <v>120</v>
      </c>
      <c r="C13" s="41" t="str">
        <f>HLOOKUP(D4,B4:L9,3,0)</f>
        <v>Marketing</v>
      </c>
    </row>
    <row r="14" spans="1:12" x14ac:dyDescent="0.3">
      <c r="B14" s="36"/>
    </row>
    <row r="15" spans="1:12" x14ac:dyDescent="0.3">
      <c r="B15" s="40"/>
    </row>
    <row r="17" spans="2:4" x14ac:dyDescent="0.3">
      <c r="B17" s="36" t="s">
        <v>121</v>
      </c>
    </row>
    <row r="18" spans="2:4" x14ac:dyDescent="0.3">
      <c r="C18" s="36"/>
      <c r="D18" s="36"/>
    </row>
    <row r="19" spans="2:4" x14ac:dyDescent="0.3">
      <c r="B19" s="16" t="s">
        <v>120</v>
      </c>
      <c r="C19" s="41">
        <f>HLOOKUP(G4,B4:L9,4,0)</f>
        <v>70000</v>
      </c>
    </row>
    <row r="21" spans="2:4" x14ac:dyDescent="0.3">
      <c r="B21" s="36"/>
    </row>
    <row r="23" spans="2:4" x14ac:dyDescent="0.3">
      <c r="B23" s="36" t="s">
        <v>122</v>
      </c>
      <c r="C23" s="36"/>
      <c r="D23" s="36"/>
    </row>
    <row r="24" spans="2:4" x14ac:dyDescent="0.3">
      <c r="B24" s="39" t="s">
        <v>120</v>
      </c>
      <c r="C24" s="41">
        <f>HLOOKUP(I4,B4:L9,6,0)</f>
        <v>85000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ADABE-F2C8-40EE-8D02-FD1158C41AA1}">
  <sheetPr codeName="Sheet7"/>
  <dimension ref="A1:E13"/>
  <sheetViews>
    <sheetView workbookViewId="0">
      <selection activeCell="E11" sqref="E11"/>
    </sheetView>
  </sheetViews>
  <sheetFormatPr defaultRowHeight="14.4" x14ac:dyDescent="0.3"/>
  <cols>
    <col min="1" max="1" width="34.77734375" customWidth="1"/>
    <col min="2" max="2" width="60.77734375" bestFit="1" customWidth="1"/>
  </cols>
  <sheetData>
    <row r="1" spans="1:5" ht="72" x14ac:dyDescent="0.3">
      <c r="A1" s="11" t="s">
        <v>123</v>
      </c>
    </row>
    <row r="3" spans="1:5" x14ac:dyDescent="0.3">
      <c r="A3" t="s">
        <v>1</v>
      </c>
      <c r="B3" s="43" t="s">
        <v>124</v>
      </c>
      <c r="C3" s="45"/>
      <c r="D3" s="45"/>
      <c r="E3" s="45"/>
    </row>
    <row r="4" spans="1:5" x14ac:dyDescent="0.3">
      <c r="B4" s="7" t="s">
        <v>125</v>
      </c>
      <c r="C4" s="45"/>
      <c r="D4" s="45"/>
      <c r="E4" s="45"/>
    </row>
    <row r="5" spans="1:5" x14ac:dyDescent="0.3">
      <c r="B5" s="7" t="s">
        <v>126</v>
      </c>
      <c r="C5" s="45"/>
      <c r="D5" s="45"/>
      <c r="E5" s="45"/>
    </row>
    <row r="6" spans="1:5" x14ac:dyDescent="0.3">
      <c r="B6" s="7" t="s">
        <v>127</v>
      </c>
      <c r="C6" s="45"/>
      <c r="D6" s="45"/>
      <c r="E6" s="45"/>
    </row>
    <row r="7" spans="1:5" x14ac:dyDescent="0.3">
      <c r="B7" s="45"/>
      <c r="C7" s="45"/>
      <c r="D7" s="45"/>
      <c r="E7" s="45"/>
    </row>
    <row r="8" spans="1:5" x14ac:dyDescent="0.3">
      <c r="B8" s="44" t="s">
        <v>3</v>
      </c>
      <c r="C8" s="44" t="s">
        <v>128</v>
      </c>
      <c r="D8" s="44" t="s">
        <v>129</v>
      </c>
      <c r="E8" s="45"/>
    </row>
    <row r="9" spans="1:5" x14ac:dyDescent="0.3">
      <c r="B9" s="1" t="s">
        <v>130</v>
      </c>
      <c r="C9" s="1">
        <v>98</v>
      </c>
      <c r="D9" s="46" t="str">
        <f>IF(C9&gt;=60,"Pass","Fail")</f>
        <v>Pass</v>
      </c>
      <c r="E9" s="7"/>
    </row>
    <row r="10" spans="1:5" x14ac:dyDescent="0.3">
      <c r="B10" s="1" t="s">
        <v>131</v>
      </c>
      <c r="C10" s="1">
        <v>55</v>
      </c>
      <c r="D10" s="46" t="str">
        <f t="shared" ref="D10:D12" si="0">IF(C10&gt;=60,"Pass","Fail")</f>
        <v>Fail</v>
      </c>
      <c r="E10" s="7"/>
    </row>
    <row r="11" spans="1:5" x14ac:dyDescent="0.3">
      <c r="B11" s="1" t="s">
        <v>132</v>
      </c>
      <c r="C11" s="1">
        <v>15</v>
      </c>
      <c r="D11" s="46" t="str">
        <f t="shared" si="0"/>
        <v>Fail</v>
      </c>
      <c r="E11" s="7"/>
    </row>
    <row r="12" spans="1:5" x14ac:dyDescent="0.3">
      <c r="B12" s="1" t="s">
        <v>133</v>
      </c>
      <c r="C12" s="1">
        <v>60</v>
      </c>
      <c r="D12" s="46" t="str">
        <f t="shared" si="0"/>
        <v>Pass</v>
      </c>
      <c r="E12" s="7"/>
    </row>
    <row r="13" spans="1:5" x14ac:dyDescent="0.3">
      <c r="B13" s="45"/>
      <c r="C13" s="45"/>
      <c r="D13" s="45"/>
      <c r="E13" s="45"/>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37FD4E-7F16-4454-9CEC-4AFEE211F119}">
  <sheetPr codeName="Sheet8"/>
  <dimension ref="A1:F12"/>
  <sheetViews>
    <sheetView workbookViewId="0">
      <selection activeCell="D14" sqref="D14"/>
    </sheetView>
  </sheetViews>
  <sheetFormatPr defaultRowHeight="14.4" x14ac:dyDescent="0.3"/>
  <cols>
    <col min="1" max="1" width="30.5546875" customWidth="1"/>
    <col min="2" max="2" width="78.109375" bestFit="1" customWidth="1"/>
    <col min="5" max="5" width="11.5546875" bestFit="1" customWidth="1"/>
  </cols>
  <sheetData>
    <row r="1" spans="1:6" ht="129.6" x14ac:dyDescent="0.3">
      <c r="A1" s="15" t="s">
        <v>134</v>
      </c>
    </row>
    <row r="3" spans="1:6" x14ac:dyDescent="0.3">
      <c r="A3" t="s">
        <v>1</v>
      </c>
      <c r="B3" s="43" t="s">
        <v>135</v>
      </c>
      <c r="C3" s="6"/>
      <c r="D3" s="6"/>
      <c r="E3" s="6"/>
      <c r="F3" s="6"/>
    </row>
    <row r="4" spans="1:6" x14ac:dyDescent="0.3">
      <c r="B4" s="48" t="s">
        <v>136</v>
      </c>
      <c r="C4" s="6"/>
      <c r="D4" s="6"/>
      <c r="E4" s="6"/>
      <c r="F4" s="6"/>
    </row>
    <row r="5" spans="1:6" x14ac:dyDescent="0.3">
      <c r="B5" s="43" t="s">
        <v>137</v>
      </c>
      <c r="C5" s="6"/>
      <c r="D5" s="6"/>
      <c r="E5" s="6"/>
      <c r="F5" s="6"/>
    </row>
    <row r="6" spans="1:6" x14ac:dyDescent="0.3">
      <c r="B6" s="47"/>
      <c r="C6" s="6"/>
      <c r="D6" s="6"/>
      <c r="E6" s="6"/>
      <c r="F6" s="6"/>
    </row>
    <row r="7" spans="1:6" x14ac:dyDescent="0.3">
      <c r="B7" s="6"/>
      <c r="C7" s="7" t="s">
        <v>6</v>
      </c>
      <c r="D7" s="7" t="s">
        <v>7</v>
      </c>
      <c r="E7" s="6"/>
      <c r="F7" s="6"/>
    </row>
    <row r="8" spans="1:6" x14ac:dyDescent="0.3">
      <c r="B8" s="1"/>
      <c r="C8" s="1" t="s">
        <v>138</v>
      </c>
      <c r="D8" s="1" t="s">
        <v>139</v>
      </c>
      <c r="E8" s="44" t="s">
        <v>140</v>
      </c>
      <c r="F8" s="6"/>
    </row>
    <row r="9" spans="1:6" x14ac:dyDescent="0.3">
      <c r="B9" s="1" t="s">
        <v>141</v>
      </c>
      <c r="C9" s="49">
        <v>94</v>
      </c>
      <c r="D9" s="49">
        <v>94</v>
      </c>
      <c r="E9" s="46" t="str">
        <f>IF(C9=D9,"match","no match")</f>
        <v>match</v>
      </c>
      <c r="F9" s="7"/>
    </row>
    <row r="10" spans="1:6" x14ac:dyDescent="0.3">
      <c r="B10" s="1" t="s">
        <v>142</v>
      </c>
      <c r="C10" s="49">
        <v>109</v>
      </c>
      <c r="D10" s="49">
        <v>109</v>
      </c>
      <c r="E10" s="46" t="str">
        <f t="shared" ref="E10:E12" si="0">IF(C10=D10,"match","no match")</f>
        <v>match</v>
      </c>
      <c r="F10" s="7"/>
    </row>
    <row r="11" spans="1:6" x14ac:dyDescent="0.3">
      <c r="B11" s="1" t="s">
        <v>143</v>
      </c>
      <c r="C11" s="49">
        <v>85</v>
      </c>
      <c r="D11" s="49">
        <v>85.5</v>
      </c>
      <c r="E11" s="46" t="str">
        <f t="shared" si="0"/>
        <v>no match</v>
      </c>
      <c r="F11" s="7"/>
    </row>
    <row r="12" spans="1:6" x14ac:dyDescent="0.3">
      <c r="B12" s="1" t="s">
        <v>144</v>
      </c>
      <c r="C12" s="49">
        <v>12</v>
      </c>
      <c r="D12" s="49">
        <v>12</v>
      </c>
      <c r="E12" s="46" t="str">
        <f t="shared" si="0"/>
        <v>match</v>
      </c>
      <c r="F12" s="7"/>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6BC99-58A8-4DD8-9D39-77A5022EE8C5}">
  <sheetPr codeName="Sheet9"/>
  <dimension ref="A1:H20"/>
  <sheetViews>
    <sheetView topLeftCell="A2" workbookViewId="0">
      <selection activeCell="I16" sqref="I16"/>
    </sheetView>
  </sheetViews>
  <sheetFormatPr defaultRowHeight="14.4" x14ac:dyDescent="0.3"/>
  <cols>
    <col min="1" max="1" width="31" customWidth="1"/>
    <col min="6" max="6" width="12.6640625" bestFit="1" customWidth="1"/>
    <col min="7" max="7" width="12.44140625" bestFit="1" customWidth="1"/>
  </cols>
  <sheetData>
    <row r="1" spans="1:8" ht="144" x14ac:dyDescent="0.3">
      <c r="A1" s="11" t="s">
        <v>145</v>
      </c>
    </row>
    <row r="3" spans="1:8" x14ac:dyDescent="0.3">
      <c r="A3" t="s">
        <v>1</v>
      </c>
      <c r="B3" s="6"/>
      <c r="C3" s="7" t="s">
        <v>146</v>
      </c>
      <c r="D3" s="6"/>
      <c r="E3" s="6"/>
      <c r="F3" s="6"/>
      <c r="G3" s="6"/>
      <c r="H3" s="6"/>
    </row>
    <row r="4" spans="1:8" x14ac:dyDescent="0.3">
      <c r="B4" s="50">
        <v>1</v>
      </c>
      <c r="C4" s="51" t="s">
        <v>147</v>
      </c>
      <c r="D4" s="6"/>
      <c r="E4" s="6"/>
      <c r="F4" s="6"/>
      <c r="G4" s="6"/>
      <c r="H4" s="6"/>
    </row>
    <row r="5" spans="1:8" x14ac:dyDescent="0.3">
      <c r="B5" s="50"/>
      <c r="C5" s="52"/>
      <c r="D5" s="6"/>
      <c r="E5" s="6"/>
      <c r="F5" s="6"/>
      <c r="G5" s="6"/>
      <c r="H5" s="6"/>
    </row>
    <row r="6" spans="1:8" x14ac:dyDescent="0.3">
      <c r="B6" s="50">
        <v>2</v>
      </c>
      <c r="C6" s="51" t="s">
        <v>148</v>
      </c>
      <c r="D6" s="6"/>
      <c r="E6" s="6"/>
      <c r="F6" s="6"/>
      <c r="G6" s="6"/>
      <c r="H6" s="6"/>
    </row>
    <row r="7" spans="1:8" x14ac:dyDescent="0.3">
      <c r="B7" s="50"/>
      <c r="C7" s="7"/>
      <c r="D7" s="6"/>
      <c r="E7" s="6"/>
      <c r="F7" s="6"/>
      <c r="G7" s="6"/>
      <c r="H7" s="6"/>
    </row>
    <row r="8" spans="1:8" x14ac:dyDescent="0.3">
      <c r="B8" s="50"/>
      <c r="C8" s="7"/>
      <c r="D8" s="6"/>
      <c r="E8" s="6"/>
      <c r="F8" s="6"/>
      <c r="G8" s="6"/>
      <c r="H8" s="6"/>
    </row>
    <row r="9" spans="1:8" x14ac:dyDescent="0.3">
      <c r="B9" s="6"/>
      <c r="C9" s="6"/>
      <c r="D9" s="6"/>
      <c r="E9" s="6"/>
      <c r="F9" s="1" t="s">
        <v>149</v>
      </c>
      <c r="G9" s="1" t="s">
        <v>150</v>
      </c>
      <c r="H9" s="6"/>
    </row>
    <row r="10" spans="1:8" x14ac:dyDescent="0.3">
      <c r="B10" s="6"/>
      <c r="C10" s="53" t="s">
        <v>151</v>
      </c>
      <c r="D10" s="53" t="s">
        <v>3</v>
      </c>
      <c r="E10" s="54" t="s">
        <v>152</v>
      </c>
      <c r="F10" s="53" t="s">
        <v>153</v>
      </c>
      <c r="G10" s="53" t="s">
        <v>154</v>
      </c>
      <c r="H10" s="6"/>
    </row>
    <row r="11" spans="1:8" x14ac:dyDescent="0.3">
      <c r="B11" s="6"/>
      <c r="C11" s="1">
        <v>1</v>
      </c>
      <c r="D11" s="1" t="s">
        <v>155</v>
      </c>
      <c r="E11" s="55">
        <v>16</v>
      </c>
      <c r="F11" s="46" t="str">
        <f>IF(E11&gt;=16,"Eligible","Not eligible")</f>
        <v>Eligible</v>
      </c>
      <c r="G11" s="46" t="str">
        <f>IF(E11&lt;18,"Minor","Adult")</f>
        <v>Minor</v>
      </c>
      <c r="H11" s="6"/>
    </row>
    <row r="12" spans="1:8" x14ac:dyDescent="0.3">
      <c r="B12" s="6"/>
      <c r="C12" s="1">
        <v>2</v>
      </c>
      <c r="D12" s="1" t="s">
        <v>156</v>
      </c>
      <c r="E12" s="55">
        <v>18</v>
      </c>
      <c r="F12" s="46" t="str">
        <f t="shared" ref="F12:F18" si="0">IF(E12&gt;=16,"Eligible","Not eligible")</f>
        <v>Eligible</v>
      </c>
      <c r="G12" s="46" t="str">
        <f t="shared" ref="G12:G18" si="1">IF(E12&lt;18,"Minor","Adult")</f>
        <v>Adult</v>
      </c>
      <c r="H12" s="6"/>
    </row>
    <row r="13" spans="1:8" x14ac:dyDescent="0.3">
      <c r="B13" s="6"/>
      <c r="C13" s="1">
        <v>3</v>
      </c>
      <c r="D13" s="1" t="s">
        <v>157</v>
      </c>
      <c r="E13" s="55">
        <v>15.5</v>
      </c>
      <c r="F13" s="46" t="str">
        <f t="shared" si="0"/>
        <v>Not eligible</v>
      </c>
      <c r="G13" s="46" t="str">
        <f t="shared" si="1"/>
        <v>Minor</v>
      </c>
      <c r="H13" s="6"/>
    </row>
    <row r="14" spans="1:8" x14ac:dyDescent="0.3">
      <c r="B14" s="6"/>
      <c r="C14" s="1">
        <v>4</v>
      </c>
      <c r="D14" s="1" t="s">
        <v>158</v>
      </c>
      <c r="E14" s="55">
        <v>19</v>
      </c>
      <c r="F14" s="46" t="str">
        <f t="shared" si="0"/>
        <v>Eligible</v>
      </c>
      <c r="G14" s="46" t="str">
        <f t="shared" si="1"/>
        <v>Adult</v>
      </c>
      <c r="H14" s="6"/>
    </row>
    <row r="15" spans="1:8" x14ac:dyDescent="0.3">
      <c r="B15" s="6"/>
      <c r="C15" s="1">
        <v>5</v>
      </c>
      <c r="D15" s="1" t="s">
        <v>159</v>
      </c>
      <c r="E15" s="55">
        <v>18</v>
      </c>
      <c r="F15" s="46" t="str">
        <f t="shared" si="0"/>
        <v>Eligible</v>
      </c>
      <c r="G15" s="46" t="str">
        <f t="shared" si="1"/>
        <v>Adult</v>
      </c>
      <c r="H15" s="6"/>
    </row>
    <row r="16" spans="1:8" x14ac:dyDescent="0.3">
      <c r="B16" s="6"/>
      <c r="C16" s="1">
        <v>6</v>
      </c>
      <c r="D16" s="1" t="s">
        <v>160</v>
      </c>
      <c r="E16" s="55">
        <v>13</v>
      </c>
      <c r="F16" s="46" t="str">
        <f t="shared" si="0"/>
        <v>Not eligible</v>
      </c>
      <c r="G16" s="46" t="str">
        <f t="shared" si="1"/>
        <v>Minor</v>
      </c>
      <c r="H16" s="6"/>
    </row>
    <row r="17" spans="2:8" x14ac:dyDescent="0.3">
      <c r="B17" s="6"/>
      <c r="C17" s="1">
        <v>7</v>
      </c>
      <c r="D17" s="1" t="s">
        <v>161</v>
      </c>
      <c r="E17" s="55">
        <v>18</v>
      </c>
      <c r="F17" s="46" t="str">
        <f t="shared" si="0"/>
        <v>Eligible</v>
      </c>
      <c r="G17" s="46" t="str">
        <f t="shared" si="1"/>
        <v>Adult</v>
      </c>
      <c r="H17" s="6"/>
    </row>
    <row r="18" spans="2:8" x14ac:dyDescent="0.3">
      <c r="B18" s="6"/>
      <c r="C18" s="1">
        <v>8</v>
      </c>
      <c r="D18" s="1" t="s">
        <v>162</v>
      </c>
      <c r="E18" s="55">
        <v>17</v>
      </c>
      <c r="F18" s="46" t="str">
        <f t="shared" si="0"/>
        <v>Eligible</v>
      </c>
      <c r="G18" s="46" t="str">
        <f t="shared" si="1"/>
        <v>Minor</v>
      </c>
      <c r="H18" s="6"/>
    </row>
    <row r="20" spans="2:8" x14ac:dyDescent="0.3">
      <c r="B20" s="6"/>
      <c r="C20" s="47"/>
      <c r="D20" s="47"/>
      <c r="E20" s="47"/>
      <c r="F20" s="6"/>
      <c r="G20" s="6"/>
      <c r="H20" s="6"/>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997C90-8694-44B4-94E8-467FC7C64138}">
  <sheetPr codeName="Sheet10"/>
  <dimension ref="A1:E19"/>
  <sheetViews>
    <sheetView workbookViewId="0">
      <selection activeCell="E13" sqref="E13:E19"/>
    </sheetView>
  </sheetViews>
  <sheetFormatPr defaultRowHeight="14.4" x14ac:dyDescent="0.3"/>
  <cols>
    <col min="1" max="1" width="33.6640625" customWidth="1"/>
    <col min="5" max="5" width="10.6640625" bestFit="1" customWidth="1"/>
  </cols>
  <sheetData>
    <row r="1" spans="1:5" ht="115.2" x14ac:dyDescent="0.3">
      <c r="A1" s="15" t="s">
        <v>163</v>
      </c>
    </row>
    <row r="3" spans="1:5" x14ac:dyDescent="0.3">
      <c r="A3" t="s">
        <v>1</v>
      </c>
      <c r="B3" s="45" t="s">
        <v>164</v>
      </c>
      <c r="C3" s="6"/>
      <c r="D3" s="6"/>
      <c r="E3" s="6"/>
    </row>
    <row r="5" spans="1:5" x14ac:dyDescent="0.3">
      <c r="B5" s="6"/>
      <c r="C5" s="45" t="s">
        <v>66</v>
      </c>
      <c r="D5" s="6"/>
      <c r="E5" s="6"/>
    </row>
    <row r="6" spans="1:5" x14ac:dyDescent="0.3">
      <c r="B6" s="57" t="s">
        <v>165</v>
      </c>
      <c r="C6" s="59">
        <v>1</v>
      </c>
      <c r="D6" s="6"/>
      <c r="E6" s="6"/>
    </row>
    <row r="7" spans="1:5" x14ac:dyDescent="0.3">
      <c r="B7" s="57" t="s">
        <v>166</v>
      </c>
      <c r="C7" s="59">
        <v>0.5</v>
      </c>
      <c r="D7" s="6"/>
      <c r="E7" s="6"/>
    </row>
    <row r="9" spans="1:5" x14ac:dyDescent="0.3">
      <c r="B9" s="45" t="s">
        <v>167</v>
      </c>
      <c r="C9" s="6"/>
      <c r="D9" s="6"/>
      <c r="E9" s="6"/>
    </row>
    <row r="10" spans="1:5" x14ac:dyDescent="0.3">
      <c r="B10" s="45" t="s">
        <v>168</v>
      </c>
      <c r="C10" s="6"/>
      <c r="D10" s="6"/>
      <c r="E10" s="6"/>
    </row>
    <row r="12" spans="1:5" x14ac:dyDescent="0.3">
      <c r="B12" s="56" t="s">
        <v>3</v>
      </c>
      <c r="C12" s="56" t="s">
        <v>169</v>
      </c>
      <c r="D12" s="56" t="s">
        <v>170</v>
      </c>
      <c r="E12" s="56" t="s">
        <v>171</v>
      </c>
    </row>
    <row r="13" spans="1:5" x14ac:dyDescent="0.3">
      <c r="B13" s="57" t="s">
        <v>172</v>
      </c>
      <c r="C13" s="57" t="s">
        <v>165</v>
      </c>
      <c r="D13" s="58">
        <v>46866</v>
      </c>
      <c r="E13" s="60">
        <f>IF(C13="A+",D13,D13/2)</f>
        <v>46866</v>
      </c>
    </row>
    <row r="14" spans="1:5" x14ac:dyDescent="0.3">
      <c r="B14" s="57" t="s">
        <v>173</v>
      </c>
      <c r="C14" s="57" t="s">
        <v>166</v>
      </c>
      <c r="D14" s="58">
        <v>33495</v>
      </c>
      <c r="E14" s="60">
        <f t="shared" ref="E14:E19" si="0">IF(C14="A+",D14,D14/2)</f>
        <v>16747.5</v>
      </c>
    </row>
    <row r="15" spans="1:5" x14ac:dyDescent="0.3">
      <c r="B15" s="57" t="s">
        <v>174</v>
      </c>
      <c r="C15" s="57" t="s">
        <v>166</v>
      </c>
      <c r="D15" s="58">
        <v>35087</v>
      </c>
      <c r="E15" s="60">
        <f t="shared" si="0"/>
        <v>17543.5</v>
      </c>
    </row>
    <row r="16" spans="1:5" x14ac:dyDescent="0.3">
      <c r="B16" s="57" t="s">
        <v>175</v>
      </c>
      <c r="C16" s="57" t="s">
        <v>165</v>
      </c>
      <c r="D16" s="58">
        <v>42603</v>
      </c>
      <c r="E16" s="60">
        <f t="shared" si="0"/>
        <v>42603</v>
      </c>
    </row>
    <row r="17" spans="2:5" x14ac:dyDescent="0.3">
      <c r="B17" s="57" t="s">
        <v>159</v>
      </c>
      <c r="C17" s="57" t="s">
        <v>166</v>
      </c>
      <c r="D17" s="58">
        <v>36971</v>
      </c>
      <c r="E17" s="60">
        <f t="shared" si="0"/>
        <v>18485.5</v>
      </c>
    </row>
    <row r="18" spans="2:5" x14ac:dyDescent="0.3">
      <c r="B18" s="57" t="s">
        <v>176</v>
      </c>
      <c r="C18" s="57" t="s">
        <v>165</v>
      </c>
      <c r="D18" s="58">
        <v>41286</v>
      </c>
      <c r="E18" s="60">
        <f t="shared" si="0"/>
        <v>41286</v>
      </c>
    </row>
    <row r="19" spans="2:5" x14ac:dyDescent="0.3">
      <c r="B19" s="57" t="s">
        <v>177</v>
      </c>
      <c r="C19" s="57" t="s">
        <v>166</v>
      </c>
      <c r="D19" s="58">
        <v>37732</v>
      </c>
      <c r="E19" s="60">
        <f t="shared" si="0"/>
        <v>18866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69CCFA-5945-4A65-910D-9BBB77FBF5B7}">
  <sheetPr codeName="Sheet11"/>
  <dimension ref="A1:F28"/>
  <sheetViews>
    <sheetView topLeftCell="A2" workbookViewId="0">
      <selection activeCell="F27" sqref="F27"/>
    </sheetView>
  </sheetViews>
  <sheetFormatPr defaultRowHeight="14.4" x14ac:dyDescent="0.3"/>
  <cols>
    <col min="1" max="1" width="25.21875" customWidth="1"/>
    <col min="2" max="2" width="81" bestFit="1" customWidth="1"/>
    <col min="5" max="5" width="21.77734375" bestFit="1" customWidth="1"/>
  </cols>
  <sheetData>
    <row r="1" spans="1:6" ht="72" x14ac:dyDescent="0.3">
      <c r="A1" s="11" t="s">
        <v>178</v>
      </c>
    </row>
    <row r="3" spans="1:6" x14ac:dyDescent="0.3">
      <c r="A3" t="s">
        <v>1</v>
      </c>
      <c r="B3" s="5" t="s">
        <v>179</v>
      </c>
      <c r="C3" s="6"/>
      <c r="D3" s="6"/>
      <c r="E3" s="6"/>
      <c r="F3" s="6"/>
    </row>
    <row r="4" spans="1:6" x14ac:dyDescent="0.3">
      <c r="B4" s="7" t="s">
        <v>180</v>
      </c>
      <c r="C4" s="6"/>
      <c r="D4" s="6"/>
      <c r="E4" s="6"/>
      <c r="F4" s="6"/>
    </row>
    <row r="5" spans="1:6" x14ac:dyDescent="0.3">
      <c r="B5" s="61" t="s">
        <v>181</v>
      </c>
      <c r="C5" s="7" t="s">
        <v>182</v>
      </c>
      <c r="D5" s="6"/>
      <c r="E5" s="6"/>
      <c r="F5" s="6"/>
    </row>
    <row r="6" spans="1:6" x14ac:dyDescent="0.3">
      <c r="B6" s="7" t="s">
        <v>183</v>
      </c>
      <c r="C6" s="7" t="s">
        <v>184</v>
      </c>
      <c r="D6" s="6"/>
      <c r="E6" s="6"/>
      <c r="F6" s="6"/>
    </row>
    <row r="7" spans="1:6" x14ac:dyDescent="0.3">
      <c r="B7" s="61" t="s">
        <v>185</v>
      </c>
      <c r="C7" s="7" t="s">
        <v>186</v>
      </c>
      <c r="D7" s="6"/>
      <c r="E7" s="6"/>
      <c r="F7" s="6"/>
    </row>
    <row r="8" spans="1:6" x14ac:dyDescent="0.3">
      <c r="B8" s="7" t="s">
        <v>187</v>
      </c>
      <c r="C8" s="7" t="s">
        <v>188</v>
      </c>
      <c r="D8" s="6"/>
      <c r="E8" s="6"/>
      <c r="F8" s="6"/>
    </row>
    <row r="9" spans="1:6" x14ac:dyDescent="0.3">
      <c r="B9" s="7" t="s">
        <v>189</v>
      </c>
      <c r="C9" s="7" t="s">
        <v>190</v>
      </c>
      <c r="D9" s="6"/>
      <c r="E9" s="6"/>
      <c r="F9" s="6"/>
    </row>
    <row r="10" spans="1:6" x14ac:dyDescent="0.3">
      <c r="B10" s="7" t="s">
        <v>191</v>
      </c>
      <c r="C10" s="7" t="s">
        <v>192</v>
      </c>
      <c r="D10" s="6"/>
      <c r="E10" s="6"/>
      <c r="F10" s="6"/>
    </row>
    <row r="11" spans="1:6" x14ac:dyDescent="0.3">
      <c r="B11" s="6"/>
      <c r="C11" s="6"/>
      <c r="D11" s="6"/>
      <c r="E11" s="6"/>
      <c r="F11" s="6"/>
    </row>
    <row r="12" spans="1:6" x14ac:dyDescent="0.3">
      <c r="B12" s="47" t="s">
        <v>193</v>
      </c>
      <c r="C12" s="6"/>
      <c r="D12" s="6"/>
      <c r="E12" s="6"/>
      <c r="F12" s="6"/>
    </row>
    <row r="13" spans="1:6" x14ac:dyDescent="0.3">
      <c r="B13" s="7">
        <v>2</v>
      </c>
      <c r="C13" s="7" t="s">
        <v>194</v>
      </c>
      <c r="D13" s="7">
        <v>3</v>
      </c>
      <c r="E13" s="13">
        <f>B13+D13</f>
        <v>5</v>
      </c>
      <c r="F13" s="6"/>
    </row>
    <row r="14" spans="1:6" x14ac:dyDescent="0.3">
      <c r="B14" s="7">
        <v>3</v>
      </c>
      <c r="C14" s="7" t="s">
        <v>195</v>
      </c>
      <c r="D14" s="7">
        <v>1</v>
      </c>
      <c r="E14" s="13">
        <f>B14-D14</f>
        <v>2</v>
      </c>
      <c r="F14" s="6"/>
    </row>
    <row r="15" spans="1:6" x14ac:dyDescent="0.3">
      <c r="B15" s="7">
        <v>5</v>
      </c>
      <c r="C15" s="7" t="s">
        <v>196</v>
      </c>
      <c r="D15" s="7">
        <v>10</v>
      </c>
      <c r="E15" s="13">
        <f>B15*D15</f>
        <v>50</v>
      </c>
      <c r="F15" s="6"/>
    </row>
    <row r="16" spans="1:6" x14ac:dyDescent="0.3">
      <c r="B16" s="7">
        <v>10</v>
      </c>
      <c r="C16" s="7" t="s">
        <v>197</v>
      </c>
      <c r="D16" s="7">
        <v>2</v>
      </c>
      <c r="E16" s="13">
        <f>B16/D16</f>
        <v>5</v>
      </c>
      <c r="F16" s="6"/>
    </row>
    <row r="17" spans="2:6" x14ac:dyDescent="0.3">
      <c r="B17" s="6"/>
      <c r="C17" s="6"/>
      <c r="D17" s="6"/>
      <c r="E17" s="6"/>
      <c r="F17" s="6"/>
    </row>
    <row r="18" spans="2:6" x14ac:dyDescent="0.3">
      <c r="B18" s="6"/>
      <c r="C18" s="6"/>
      <c r="D18" s="6"/>
      <c r="E18" s="6"/>
      <c r="F18" s="6"/>
    </row>
    <row r="19" spans="2:6" x14ac:dyDescent="0.3">
      <c r="B19" s="47" t="s">
        <v>198</v>
      </c>
      <c r="C19" s="6"/>
      <c r="D19" s="6"/>
      <c r="E19" s="6"/>
      <c r="F19" s="6"/>
    </row>
    <row r="20" spans="2:6" x14ac:dyDescent="0.3">
      <c r="B20" s="5">
        <v>10</v>
      </c>
      <c r="C20" s="7" t="s">
        <v>199</v>
      </c>
      <c r="D20" s="7">
        <v>100</v>
      </c>
      <c r="E20" s="63">
        <f>10/100</f>
        <v>0.1</v>
      </c>
      <c r="F20" s="6"/>
    </row>
    <row r="21" spans="2:6" x14ac:dyDescent="0.3">
      <c r="B21" s="5">
        <v>3</v>
      </c>
      <c r="C21" s="7" t="s">
        <v>199</v>
      </c>
      <c r="D21" s="7">
        <v>6</v>
      </c>
      <c r="E21" s="63">
        <f>B21/D21</f>
        <v>0.5</v>
      </c>
      <c r="F21" s="6"/>
    </row>
    <row r="22" spans="2:6" x14ac:dyDescent="0.3">
      <c r="B22" s="5">
        <v>1.5</v>
      </c>
      <c r="C22" s="7" t="s">
        <v>199</v>
      </c>
      <c r="D22" s="7">
        <v>1</v>
      </c>
      <c r="E22" s="63">
        <f>B22/D22</f>
        <v>1.5</v>
      </c>
      <c r="F22" s="6"/>
    </row>
    <row r="23" spans="2:6" x14ac:dyDescent="0.3">
      <c r="B23" s="6"/>
      <c r="C23" s="6"/>
      <c r="D23" s="6"/>
      <c r="E23" s="6"/>
      <c r="F23" s="6"/>
    </row>
    <row r="24" spans="2:6" x14ac:dyDescent="0.3">
      <c r="B24" s="47" t="s">
        <v>200</v>
      </c>
      <c r="C24" s="6"/>
      <c r="D24" s="6"/>
      <c r="E24" s="6"/>
      <c r="F24" s="6"/>
    </row>
    <row r="25" spans="2:6" x14ac:dyDescent="0.3">
      <c r="B25" s="5" t="s">
        <v>201</v>
      </c>
      <c r="C25" s="5" t="s">
        <v>202</v>
      </c>
      <c r="D25" s="5" t="s">
        <v>203</v>
      </c>
      <c r="E25" s="5" t="s">
        <v>204</v>
      </c>
      <c r="F25" s="5"/>
    </row>
    <row r="26" spans="2:6" x14ac:dyDescent="0.3">
      <c r="B26" s="7" t="s">
        <v>205</v>
      </c>
      <c r="C26" s="7">
        <v>100</v>
      </c>
      <c r="D26" s="7">
        <v>150</v>
      </c>
      <c r="E26" s="63">
        <f>D26/C26</f>
        <v>1.5</v>
      </c>
      <c r="F26" s="62"/>
    </row>
    <row r="27" spans="2:6" x14ac:dyDescent="0.3">
      <c r="B27" s="7" t="s">
        <v>206</v>
      </c>
      <c r="C27" s="7">
        <v>100</v>
      </c>
      <c r="D27" s="7">
        <v>50</v>
      </c>
      <c r="E27" s="63">
        <f>D27/C27</f>
        <v>0.5</v>
      </c>
      <c r="F27" s="62"/>
    </row>
    <row r="28" spans="2:6" x14ac:dyDescent="0.3">
      <c r="B28" s="6"/>
      <c r="C28" s="6"/>
      <c r="D28" s="6"/>
      <c r="E28" s="6"/>
      <c r="F28" s="6"/>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F811F-7A58-433B-AC50-DD619CD34F49}">
  <sheetPr codeName="Sheet12"/>
  <dimension ref="A1:D16"/>
  <sheetViews>
    <sheetView workbookViewId="0">
      <selection activeCell="D17" sqref="D17"/>
    </sheetView>
  </sheetViews>
  <sheetFormatPr defaultRowHeight="14.4" x14ac:dyDescent="0.3"/>
  <cols>
    <col min="1" max="1" width="36.5546875" customWidth="1"/>
    <col min="3" max="3" width="62.6640625" bestFit="1" customWidth="1"/>
  </cols>
  <sheetData>
    <row r="1" spans="1:4" ht="57.6" x14ac:dyDescent="0.3">
      <c r="A1" s="11" t="s">
        <v>207</v>
      </c>
    </row>
    <row r="3" spans="1:4" x14ac:dyDescent="0.3">
      <c r="A3" t="s">
        <v>1</v>
      </c>
      <c r="B3" s="6"/>
      <c r="C3" s="7" t="s">
        <v>208</v>
      </c>
      <c r="D3" s="6"/>
    </row>
    <row r="4" spans="1:4" x14ac:dyDescent="0.3">
      <c r="B4" s="64"/>
      <c r="C4" s="67" t="s">
        <v>209</v>
      </c>
      <c r="D4" s="68"/>
    </row>
    <row r="5" spans="1:4" x14ac:dyDescent="0.3">
      <c r="B5" s="65">
        <v>1</v>
      </c>
      <c r="C5" s="7" t="s">
        <v>210</v>
      </c>
      <c r="D5" s="6"/>
    </row>
    <row r="6" spans="1:4" x14ac:dyDescent="0.3">
      <c r="B6" s="66"/>
      <c r="C6" s="44" t="s">
        <v>3</v>
      </c>
      <c r="D6" s="44" t="s">
        <v>4</v>
      </c>
    </row>
    <row r="7" spans="1:4" x14ac:dyDescent="0.3">
      <c r="B7" s="65"/>
      <c r="C7" s="1" t="s">
        <v>211</v>
      </c>
      <c r="D7" s="1">
        <v>200</v>
      </c>
    </row>
    <row r="8" spans="1:4" x14ac:dyDescent="0.3">
      <c r="B8" s="65"/>
      <c r="C8" s="1" t="s">
        <v>212</v>
      </c>
      <c r="D8" s="1">
        <v>120</v>
      </c>
    </row>
    <row r="9" spans="1:4" x14ac:dyDescent="0.3">
      <c r="B9" s="65"/>
      <c r="C9" s="1" t="s">
        <v>213</v>
      </c>
      <c r="D9" s="1">
        <v>156</v>
      </c>
    </row>
    <row r="10" spans="1:4" x14ac:dyDescent="0.3">
      <c r="B10" s="65"/>
      <c r="C10" s="1" t="s">
        <v>214</v>
      </c>
      <c r="D10" s="1">
        <v>190</v>
      </c>
    </row>
    <row r="11" spans="1:4" x14ac:dyDescent="0.3">
      <c r="B11" s="65"/>
      <c r="C11" s="1" t="s">
        <v>215</v>
      </c>
      <c r="D11" s="1">
        <v>320</v>
      </c>
    </row>
    <row r="12" spans="1:4" x14ac:dyDescent="0.3">
      <c r="B12" s="65"/>
      <c r="C12" s="1" t="s">
        <v>216</v>
      </c>
      <c r="D12" s="1">
        <v>89</v>
      </c>
    </row>
    <row r="13" spans="1:4" ht="15" thickBot="1" x14ac:dyDescent="0.35">
      <c r="B13" s="6"/>
      <c r="C13" s="6"/>
      <c r="D13" s="6"/>
    </row>
    <row r="14" spans="1:4" ht="15" thickBot="1" x14ac:dyDescent="0.35">
      <c r="B14" s="65">
        <v>1.1000000000000001</v>
      </c>
      <c r="C14" s="7" t="s">
        <v>217</v>
      </c>
      <c r="D14" s="8">
        <f>MAX(D7:D12)</f>
        <v>320</v>
      </c>
    </row>
    <row r="15" spans="1:4" ht="15" thickBot="1" x14ac:dyDescent="0.35">
      <c r="B15" s="65">
        <v>1.2</v>
      </c>
      <c r="C15" s="7" t="s">
        <v>218</v>
      </c>
      <c r="D15" s="8">
        <f>MIN(D7:D12)</f>
        <v>89</v>
      </c>
    </row>
    <row r="16" spans="1:4" ht="15" thickBot="1" x14ac:dyDescent="0.35">
      <c r="B16" s="65">
        <v>1.3</v>
      </c>
      <c r="C16" s="7" t="s">
        <v>219</v>
      </c>
      <c r="D16" s="8">
        <f>AVERAGE(D7:D12)</f>
        <v>179.16666666666666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10C11-187B-4EE3-8C18-CA9A65B94444}">
  <sheetPr codeName="Sheet13"/>
  <dimension ref="A1:H16"/>
  <sheetViews>
    <sheetView workbookViewId="0">
      <selection activeCell="I15" sqref="I15"/>
    </sheetView>
  </sheetViews>
  <sheetFormatPr defaultRowHeight="14.4" x14ac:dyDescent="0.3"/>
  <cols>
    <col min="1" max="1" width="44" customWidth="1"/>
  </cols>
  <sheetData>
    <row r="1" spans="1:8" ht="115.2" x14ac:dyDescent="0.3">
      <c r="A1" s="11" t="s">
        <v>220</v>
      </c>
      <c r="B1" s="42"/>
    </row>
    <row r="3" spans="1:8" x14ac:dyDescent="0.3">
      <c r="A3" t="s">
        <v>1</v>
      </c>
    </row>
    <row r="6" spans="1:8" x14ac:dyDescent="0.3">
      <c r="B6" s="7"/>
      <c r="C6" s="7" t="s">
        <v>221</v>
      </c>
      <c r="D6" s="6"/>
      <c r="E6" s="6"/>
      <c r="F6" s="6"/>
      <c r="G6" s="6"/>
      <c r="H6" s="6"/>
    </row>
    <row r="8" spans="1:8" x14ac:dyDescent="0.3">
      <c r="B8" s="7"/>
      <c r="C8" s="7" t="s">
        <v>222</v>
      </c>
      <c r="D8" s="6"/>
      <c r="E8" s="6"/>
      <c r="F8" s="6"/>
      <c r="G8" s="6"/>
      <c r="H8" s="6"/>
    </row>
    <row r="9" spans="1:8" x14ac:dyDescent="0.3">
      <c r="B9" s="7"/>
      <c r="C9" s="7" t="s">
        <v>223</v>
      </c>
      <c r="D9" s="6"/>
      <c r="E9" s="6"/>
      <c r="F9" s="6"/>
      <c r="G9" s="6"/>
      <c r="H9" s="6"/>
    </row>
    <row r="10" spans="1:8" x14ac:dyDescent="0.3">
      <c r="B10" s="7"/>
      <c r="C10" s="7" t="s">
        <v>224</v>
      </c>
      <c r="D10" s="6"/>
      <c r="E10" s="6"/>
      <c r="F10" s="6"/>
      <c r="G10" s="6"/>
      <c r="H10" s="6"/>
    </row>
    <row r="11" spans="1:8" x14ac:dyDescent="0.3">
      <c r="B11" s="7"/>
      <c r="C11" s="7"/>
      <c r="D11" s="6"/>
      <c r="E11" s="6"/>
      <c r="F11" s="6"/>
      <c r="G11" s="6"/>
      <c r="H11" s="6"/>
    </row>
    <row r="12" spans="1:8" x14ac:dyDescent="0.3">
      <c r="B12" s="6"/>
      <c r="C12" s="6"/>
      <c r="D12" s="7" t="s">
        <v>225</v>
      </c>
      <c r="E12" s="7" t="s">
        <v>226</v>
      </c>
      <c r="F12" s="7" t="s">
        <v>227</v>
      </c>
      <c r="G12" s="7" t="s">
        <v>228</v>
      </c>
      <c r="H12" s="6"/>
    </row>
    <row r="13" spans="1:8" x14ac:dyDescent="0.3">
      <c r="B13" s="7"/>
      <c r="C13" s="7" t="s">
        <v>229</v>
      </c>
      <c r="D13" s="7">
        <v>95</v>
      </c>
      <c r="E13" s="7">
        <v>56</v>
      </c>
      <c r="F13" s="7">
        <v>14</v>
      </c>
      <c r="G13" s="7">
        <v>66</v>
      </c>
      <c r="H13" s="13" t="str">
        <f>IF(MIN(D13:G13)&lt;50,"Fail","Pass")</f>
        <v>Fail</v>
      </c>
    </row>
    <row r="14" spans="1:8" x14ac:dyDescent="0.3">
      <c r="B14" s="7"/>
      <c r="C14" s="7" t="s">
        <v>230</v>
      </c>
      <c r="D14" s="7">
        <v>54</v>
      </c>
      <c r="E14" s="7">
        <v>89</v>
      </c>
      <c r="F14" s="7">
        <v>53</v>
      </c>
      <c r="G14" s="7">
        <v>66</v>
      </c>
      <c r="H14" s="13" t="str">
        <f t="shared" ref="H14:H16" si="0">IF(MIN(D14:G14)&lt;50,"Fail","Pass")</f>
        <v>Pass</v>
      </c>
    </row>
    <row r="15" spans="1:8" x14ac:dyDescent="0.3">
      <c r="B15" s="7"/>
      <c r="C15" s="7" t="s">
        <v>231</v>
      </c>
      <c r="D15" s="7">
        <v>100</v>
      </c>
      <c r="E15" s="7">
        <v>69</v>
      </c>
      <c r="F15" s="7">
        <v>78</v>
      </c>
      <c r="G15" s="7">
        <v>53</v>
      </c>
      <c r="H15" s="13" t="str">
        <f t="shared" si="0"/>
        <v>Pass</v>
      </c>
    </row>
    <row r="16" spans="1:8" x14ac:dyDescent="0.3">
      <c r="B16" s="7"/>
      <c r="C16" s="7" t="s">
        <v>133</v>
      </c>
      <c r="D16" s="7">
        <v>49</v>
      </c>
      <c r="E16" s="7">
        <v>70</v>
      </c>
      <c r="F16" s="7">
        <v>87</v>
      </c>
      <c r="G16" s="7">
        <v>100</v>
      </c>
      <c r="H16" s="13" t="str">
        <f t="shared" si="0"/>
        <v>Fail</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D04D37-0636-4188-810B-6AAE1A0CA8C1}">
  <sheetPr codeName="Sheet14"/>
  <dimension ref="A1:E15"/>
  <sheetViews>
    <sheetView topLeftCell="A4" workbookViewId="0">
      <selection activeCell="D16" sqref="D16"/>
    </sheetView>
  </sheetViews>
  <sheetFormatPr defaultRowHeight="14.4" x14ac:dyDescent="0.3"/>
  <cols>
    <col min="1" max="1" width="37.21875" customWidth="1"/>
  </cols>
  <sheetData>
    <row r="1" spans="1:5" ht="115.2" x14ac:dyDescent="0.3">
      <c r="A1" s="15" t="s">
        <v>232</v>
      </c>
    </row>
    <row r="4" spans="1:5" x14ac:dyDescent="0.3">
      <c r="A4" t="s">
        <v>1</v>
      </c>
      <c r="B4" s="7"/>
      <c r="C4" s="7" t="s">
        <v>233</v>
      </c>
      <c r="D4" s="6"/>
      <c r="E4" s="6"/>
    </row>
    <row r="5" spans="1:5" x14ac:dyDescent="0.3">
      <c r="B5" s="7"/>
      <c r="C5" s="43" t="s">
        <v>234</v>
      </c>
      <c r="D5" s="6"/>
      <c r="E5" s="6"/>
    </row>
    <row r="7" spans="1:5" x14ac:dyDescent="0.3">
      <c r="B7" s="6"/>
      <c r="C7" s="6"/>
      <c r="D7" s="7" t="s">
        <v>225</v>
      </c>
      <c r="E7" s="6"/>
    </row>
    <row r="8" spans="1:5" x14ac:dyDescent="0.3">
      <c r="B8" s="7"/>
      <c r="C8" s="7" t="s">
        <v>235</v>
      </c>
      <c r="D8" s="7">
        <v>95</v>
      </c>
      <c r="E8" s="6"/>
    </row>
    <row r="9" spans="1:5" x14ac:dyDescent="0.3">
      <c r="B9" s="7"/>
      <c r="C9" s="7" t="s">
        <v>230</v>
      </c>
      <c r="D9" s="7">
        <v>54</v>
      </c>
      <c r="E9" s="6"/>
    </row>
    <row r="10" spans="1:5" x14ac:dyDescent="0.3">
      <c r="B10" s="7"/>
      <c r="C10" s="7" t="s">
        <v>231</v>
      </c>
      <c r="D10" s="7">
        <v>100</v>
      </c>
      <c r="E10" s="6"/>
    </row>
    <row r="11" spans="1:5" x14ac:dyDescent="0.3">
      <c r="B11" s="7"/>
      <c r="C11" s="7" t="s">
        <v>133</v>
      </c>
      <c r="D11" s="7">
        <v>49</v>
      </c>
      <c r="E11" s="6"/>
    </row>
    <row r="12" spans="1:5" x14ac:dyDescent="0.3">
      <c r="B12" s="7"/>
      <c r="C12" s="7" t="s">
        <v>236</v>
      </c>
      <c r="D12" s="7">
        <v>67</v>
      </c>
      <c r="E12" s="6"/>
    </row>
    <row r="13" spans="1:5" x14ac:dyDescent="0.3">
      <c r="B13" s="7"/>
      <c r="C13" s="7" t="s">
        <v>237</v>
      </c>
      <c r="D13" s="7">
        <v>45</v>
      </c>
      <c r="E13" s="6"/>
    </row>
    <row r="14" spans="1:5" x14ac:dyDescent="0.3">
      <c r="B14" s="7"/>
      <c r="C14" s="7" t="s">
        <v>238</v>
      </c>
      <c r="D14" s="7">
        <v>77</v>
      </c>
      <c r="E14" s="6"/>
    </row>
    <row r="15" spans="1:5" x14ac:dyDescent="0.3">
      <c r="B15" s="6"/>
      <c r="C15" s="6"/>
      <c r="D15" s="13" t="str">
        <f>IF(MAX(D8:D14)&gt;= 99, "Easy", "Not Easy")</f>
        <v>Easy</v>
      </c>
      <c r="E15" s="6"/>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8E274E-6D6A-42DE-94AA-026BD004E9C4}">
  <sheetPr codeName="Sheet15"/>
  <dimension ref="A1:D14"/>
  <sheetViews>
    <sheetView workbookViewId="0">
      <selection activeCell="D11" sqref="D11"/>
    </sheetView>
  </sheetViews>
  <sheetFormatPr defaultRowHeight="14.4" x14ac:dyDescent="0.3"/>
  <cols>
    <col min="1" max="1" width="36.88671875" customWidth="1"/>
    <col min="2" max="2" width="45.6640625" bestFit="1" customWidth="1"/>
    <col min="4" max="4" width="19.88671875" bestFit="1" customWidth="1"/>
  </cols>
  <sheetData>
    <row r="1" spans="1:4" ht="115.2" x14ac:dyDescent="0.3">
      <c r="A1" s="15" t="s">
        <v>239</v>
      </c>
    </row>
    <row r="3" spans="1:4" x14ac:dyDescent="0.3">
      <c r="A3" t="s">
        <v>1</v>
      </c>
      <c r="B3" s="6" t="s">
        <v>240</v>
      </c>
      <c r="C3" s="6"/>
      <c r="D3" s="6"/>
    </row>
    <row r="4" spans="1:4" x14ac:dyDescent="0.3">
      <c r="B4" s="6" t="s">
        <v>241</v>
      </c>
      <c r="C4" s="6"/>
      <c r="D4" s="6"/>
    </row>
    <row r="5" spans="1:4" x14ac:dyDescent="0.3">
      <c r="B5" s="6" t="s">
        <v>242</v>
      </c>
      <c r="C5" s="6"/>
      <c r="D5" s="6"/>
    </row>
    <row r="6" spans="1:4" x14ac:dyDescent="0.3">
      <c r="B6" s="6" t="s">
        <v>243</v>
      </c>
      <c r="C6" s="6"/>
      <c r="D6" s="6"/>
    </row>
    <row r="8" spans="1:4" x14ac:dyDescent="0.3">
      <c r="B8" s="6" t="s">
        <v>244</v>
      </c>
      <c r="C8" s="6"/>
      <c r="D8" s="6"/>
    </row>
    <row r="10" spans="1:4" x14ac:dyDescent="0.3">
      <c r="B10" s="70" t="s">
        <v>245</v>
      </c>
      <c r="C10" s="70" t="s">
        <v>128</v>
      </c>
      <c r="D10" s="70" t="s">
        <v>246</v>
      </c>
    </row>
    <row r="11" spans="1:4" x14ac:dyDescent="0.3">
      <c r="B11" s="71" t="s">
        <v>247</v>
      </c>
      <c r="C11" s="71">
        <v>78</v>
      </c>
      <c r="D11" s="72" t="str">
        <f>IF(C11&lt;60,"Fail",IF(AND(C11&gt;=60,C11&lt;80),"Good","Excellent"))</f>
        <v>Good</v>
      </c>
    </row>
    <row r="12" spans="1:4" x14ac:dyDescent="0.3">
      <c r="B12" s="71" t="s">
        <v>248</v>
      </c>
      <c r="C12" s="71">
        <v>85</v>
      </c>
      <c r="D12" s="72" t="str">
        <f t="shared" ref="D12:D14" si="0">IF(C12&lt;60,"Fail",IF(AND(C12&gt;=60,C12&lt;80),"Good","Excellent"))</f>
        <v>Excellent</v>
      </c>
    </row>
    <row r="13" spans="1:4" x14ac:dyDescent="0.3">
      <c r="B13" s="71" t="s">
        <v>249</v>
      </c>
      <c r="C13" s="71">
        <v>44</v>
      </c>
      <c r="D13" s="72" t="str">
        <f t="shared" si="0"/>
        <v>Fail</v>
      </c>
    </row>
    <row r="14" spans="1:4" x14ac:dyDescent="0.3">
      <c r="B14" s="71" t="s">
        <v>250</v>
      </c>
      <c r="C14" s="71">
        <v>61</v>
      </c>
      <c r="D14" s="72" t="str">
        <f t="shared" si="0"/>
        <v>Good</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E498AC-7BC6-4262-91E8-E39519ACC5A8}">
  <sheetPr codeName="Sheet16"/>
  <dimension ref="A1:E20"/>
  <sheetViews>
    <sheetView workbookViewId="0">
      <selection activeCell="C20" sqref="C20"/>
    </sheetView>
  </sheetViews>
  <sheetFormatPr defaultRowHeight="14.4" x14ac:dyDescent="0.3"/>
  <cols>
    <col min="1" max="1" width="37.109375" customWidth="1"/>
    <col min="2" max="2" width="79" bestFit="1" customWidth="1"/>
  </cols>
  <sheetData>
    <row r="1" spans="1:3" ht="86.4" x14ac:dyDescent="0.3">
      <c r="A1" s="11" t="s">
        <v>251</v>
      </c>
    </row>
    <row r="3" spans="1:3" x14ac:dyDescent="0.3">
      <c r="A3" t="s">
        <v>1</v>
      </c>
      <c r="B3" s="7" t="s">
        <v>253</v>
      </c>
      <c r="C3" s="6"/>
    </row>
    <row r="4" spans="1:3" x14ac:dyDescent="0.3">
      <c r="B4" s="7" t="s">
        <v>254</v>
      </c>
      <c r="C4" s="6"/>
    </row>
    <row r="6" spans="1:3" x14ac:dyDescent="0.3">
      <c r="B6" s="47"/>
      <c r="C6" s="6"/>
    </row>
    <row r="7" spans="1:3" x14ac:dyDescent="0.3">
      <c r="B7" s="47" t="s">
        <v>28</v>
      </c>
      <c r="C7" s="47" t="s">
        <v>255</v>
      </c>
    </row>
    <row r="8" spans="1:3" x14ac:dyDescent="0.3">
      <c r="B8" s="7" t="s">
        <v>256</v>
      </c>
      <c r="C8" s="73">
        <v>759</v>
      </c>
    </row>
    <row r="9" spans="1:3" x14ac:dyDescent="0.3">
      <c r="B9" s="7" t="s">
        <v>257</v>
      </c>
      <c r="C9" s="73">
        <v>200</v>
      </c>
    </row>
    <row r="10" spans="1:3" x14ac:dyDescent="0.3">
      <c r="B10" s="7" t="s">
        <v>258</v>
      </c>
      <c r="C10" s="73">
        <v>42</v>
      </c>
    </row>
    <row r="11" spans="1:3" x14ac:dyDescent="0.3">
      <c r="B11" s="7" t="s">
        <v>259</v>
      </c>
      <c r="C11" s="73">
        <v>423</v>
      </c>
    </row>
    <row r="12" spans="1:3" x14ac:dyDescent="0.3">
      <c r="B12" s="7" t="s">
        <v>260</v>
      </c>
      <c r="C12" s="73">
        <v>200</v>
      </c>
    </row>
    <row r="13" spans="1:3" x14ac:dyDescent="0.3">
      <c r="B13" s="7" t="s">
        <v>261</v>
      </c>
      <c r="C13" s="73">
        <v>50</v>
      </c>
    </row>
    <row r="14" spans="1:3" x14ac:dyDescent="0.3">
      <c r="B14" s="7" t="s">
        <v>262</v>
      </c>
      <c r="C14" s="73">
        <v>700</v>
      </c>
    </row>
    <row r="15" spans="1:3" x14ac:dyDescent="0.3">
      <c r="B15" s="7" t="s">
        <v>263</v>
      </c>
      <c r="C15" s="73">
        <v>450</v>
      </c>
    </row>
    <row r="16" spans="1:3" x14ac:dyDescent="0.3">
      <c r="B16" s="7" t="s">
        <v>264</v>
      </c>
      <c r="C16" s="73">
        <v>605</v>
      </c>
    </row>
    <row r="17" spans="2:5" x14ac:dyDescent="0.3">
      <c r="B17" s="7" t="s">
        <v>265</v>
      </c>
      <c r="C17" s="73">
        <v>240</v>
      </c>
    </row>
    <row r="18" spans="2:5" x14ac:dyDescent="0.3">
      <c r="B18" s="7" t="s">
        <v>266</v>
      </c>
      <c r="C18" s="73">
        <v>685</v>
      </c>
    </row>
    <row r="19" spans="2:5" ht="15" thickBot="1" x14ac:dyDescent="0.35">
      <c r="B19" s="7" t="s">
        <v>267</v>
      </c>
      <c r="C19" s="73">
        <v>295</v>
      </c>
      <c r="D19" s="6"/>
      <c r="E19" s="6"/>
    </row>
    <row r="20" spans="2:5" ht="15" thickBot="1" x14ac:dyDescent="0.35">
      <c r="B20" s="7" t="s">
        <v>268</v>
      </c>
      <c r="C20" s="74">
        <f>SUM(C8:C19)</f>
        <v>4649</v>
      </c>
      <c r="D20" s="5" t="s">
        <v>269</v>
      </c>
      <c r="E20" s="5"/>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F4FE5-E37D-4F35-899E-5C836B3A63A5}">
  <sheetPr codeName="Sheet17"/>
  <dimension ref="A1:C97"/>
  <sheetViews>
    <sheetView topLeftCell="A73" workbookViewId="0">
      <selection activeCell="K96" sqref="K96"/>
    </sheetView>
  </sheetViews>
  <sheetFormatPr defaultRowHeight="14.4" x14ac:dyDescent="0.3"/>
  <cols>
    <col min="1" max="1" width="25.33203125" customWidth="1"/>
    <col min="2" max="2" width="75.44140625" bestFit="1" customWidth="1"/>
    <col min="3" max="3" width="11.109375" bestFit="1" customWidth="1"/>
  </cols>
  <sheetData>
    <row r="1" spans="1:3" ht="57.6" x14ac:dyDescent="0.3">
      <c r="A1" s="15" t="s">
        <v>252</v>
      </c>
    </row>
    <row r="3" spans="1:3" x14ac:dyDescent="0.3">
      <c r="A3" t="s">
        <v>1</v>
      </c>
      <c r="B3" s="7" t="s">
        <v>270</v>
      </c>
      <c r="C3" s="6"/>
    </row>
    <row r="4" spans="1:3" x14ac:dyDescent="0.3">
      <c r="B4" s="7" t="s">
        <v>271</v>
      </c>
      <c r="C4" s="6"/>
    </row>
    <row r="6" spans="1:3" x14ac:dyDescent="0.3">
      <c r="B6" s="75" t="s">
        <v>272</v>
      </c>
      <c r="C6" s="76" t="s">
        <v>273</v>
      </c>
    </row>
    <row r="7" spans="1:3" x14ac:dyDescent="0.3">
      <c r="B7" s="77">
        <v>42005</v>
      </c>
      <c r="C7" s="78">
        <v>432.17</v>
      </c>
    </row>
    <row r="8" spans="1:3" x14ac:dyDescent="0.3">
      <c r="B8" s="77">
        <v>42351</v>
      </c>
      <c r="C8" s="78">
        <v>528.5</v>
      </c>
    </row>
    <row r="9" spans="1:3" x14ac:dyDescent="0.3">
      <c r="B9" s="77">
        <v>42007</v>
      </c>
      <c r="C9" s="78">
        <v>810.71</v>
      </c>
    </row>
    <row r="10" spans="1:3" x14ac:dyDescent="0.3">
      <c r="B10" s="77">
        <v>42008</v>
      </c>
      <c r="C10" s="78">
        <v>418.54</v>
      </c>
    </row>
    <row r="11" spans="1:3" x14ac:dyDescent="0.3">
      <c r="B11" s="77">
        <v>42009</v>
      </c>
      <c r="C11" s="78">
        <v>722.22</v>
      </c>
    </row>
    <row r="12" spans="1:3" x14ac:dyDescent="0.3">
      <c r="B12" s="77">
        <v>42010</v>
      </c>
      <c r="C12" s="78">
        <v>460.28</v>
      </c>
    </row>
    <row r="13" spans="1:3" x14ac:dyDescent="0.3">
      <c r="B13" s="77">
        <v>42349</v>
      </c>
      <c r="C13" s="78">
        <v>483.58</v>
      </c>
    </row>
    <row r="14" spans="1:3" x14ac:dyDescent="0.3">
      <c r="B14" s="77">
        <v>42012</v>
      </c>
      <c r="C14" s="78">
        <v>114.53</v>
      </c>
    </row>
    <row r="15" spans="1:3" x14ac:dyDescent="0.3">
      <c r="B15" s="77">
        <v>42013</v>
      </c>
      <c r="C15" s="78">
        <v>609.12</v>
      </c>
    </row>
    <row r="16" spans="1:3" x14ac:dyDescent="0.3">
      <c r="B16" s="77">
        <v>42014</v>
      </c>
      <c r="C16" s="78">
        <v>1197.9000000000001</v>
      </c>
    </row>
    <row r="17" spans="2:3" x14ac:dyDescent="0.3">
      <c r="B17" s="77">
        <v>42015</v>
      </c>
      <c r="C17" s="78">
        <v>228.89</v>
      </c>
    </row>
    <row r="18" spans="2:3" x14ac:dyDescent="0.3">
      <c r="B18" s="77">
        <v>42016</v>
      </c>
      <c r="C18" s="78">
        <v>1380.07</v>
      </c>
    </row>
    <row r="19" spans="2:3" x14ac:dyDescent="0.3">
      <c r="B19" s="77">
        <v>42017</v>
      </c>
      <c r="C19" s="78">
        <v>1026.96</v>
      </c>
    </row>
    <row r="20" spans="2:3" x14ac:dyDescent="0.3">
      <c r="B20" s="77">
        <v>42018</v>
      </c>
      <c r="C20" s="78">
        <v>760.24</v>
      </c>
    </row>
    <row r="21" spans="2:3" x14ac:dyDescent="0.3">
      <c r="B21" s="77">
        <v>42019</v>
      </c>
      <c r="C21" s="78">
        <v>414.11</v>
      </c>
    </row>
    <row r="22" spans="2:3" x14ac:dyDescent="0.3">
      <c r="B22" s="77">
        <v>42020</v>
      </c>
      <c r="C22" s="78">
        <v>1728.81</v>
      </c>
    </row>
    <row r="23" spans="2:3" x14ac:dyDescent="0.3">
      <c r="B23" s="77">
        <v>42021</v>
      </c>
      <c r="C23" s="78">
        <v>276.06</v>
      </c>
    </row>
    <row r="24" spans="2:3" x14ac:dyDescent="0.3">
      <c r="B24" s="77">
        <v>42022</v>
      </c>
      <c r="C24" s="78">
        <v>462.22</v>
      </c>
    </row>
    <row r="25" spans="2:3" x14ac:dyDescent="0.3">
      <c r="B25" s="77">
        <v>42023</v>
      </c>
      <c r="C25" s="78">
        <v>1281.0999999999999</v>
      </c>
    </row>
    <row r="26" spans="2:3" x14ac:dyDescent="0.3">
      <c r="B26" s="77">
        <v>42024</v>
      </c>
      <c r="C26" s="78">
        <v>1113.7</v>
      </c>
    </row>
    <row r="27" spans="2:3" x14ac:dyDescent="0.3">
      <c r="B27" s="77">
        <v>42025</v>
      </c>
      <c r="C27" s="78">
        <v>594.09</v>
      </c>
    </row>
    <row r="28" spans="2:3" x14ac:dyDescent="0.3">
      <c r="B28" s="77">
        <v>42026</v>
      </c>
      <c r="C28" s="78">
        <v>432.67</v>
      </c>
    </row>
    <row r="29" spans="2:3" x14ac:dyDescent="0.3">
      <c r="B29" s="77">
        <v>42027</v>
      </c>
      <c r="C29" s="78">
        <v>874.45</v>
      </c>
    </row>
    <row r="30" spans="2:3" x14ac:dyDescent="0.3">
      <c r="B30" s="77">
        <v>42028</v>
      </c>
      <c r="C30" s="78">
        <v>880.38</v>
      </c>
    </row>
    <row r="31" spans="2:3" x14ac:dyDescent="0.3">
      <c r="B31" s="77">
        <v>42029</v>
      </c>
      <c r="C31" s="78">
        <v>798.53</v>
      </c>
    </row>
    <row r="32" spans="2:3" x14ac:dyDescent="0.3">
      <c r="B32" s="77">
        <v>42318</v>
      </c>
      <c r="C32" s="78">
        <v>572.41999999999996</v>
      </c>
    </row>
    <row r="33" spans="2:3" x14ac:dyDescent="0.3">
      <c r="B33" s="77">
        <v>42031</v>
      </c>
      <c r="C33" s="78">
        <v>330.61</v>
      </c>
    </row>
    <row r="34" spans="2:3" x14ac:dyDescent="0.3">
      <c r="B34" s="77">
        <v>42032</v>
      </c>
      <c r="C34" s="78">
        <v>567.17999999999995</v>
      </c>
    </row>
    <row r="35" spans="2:3" x14ac:dyDescent="0.3">
      <c r="B35" s="77">
        <v>42033</v>
      </c>
      <c r="C35" s="78">
        <v>1449.21</v>
      </c>
    </row>
    <row r="36" spans="2:3" x14ac:dyDescent="0.3">
      <c r="B36" s="77">
        <v>42034</v>
      </c>
      <c r="C36" s="78">
        <v>459.29</v>
      </c>
    </row>
    <row r="37" spans="2:3" x14ac:dyDescent="0.3">
      <c r="B37" s="77">
        <v>42035</v>
      </c>
      <c r="C37" s="78">
        <v>357.55</v>
      </c>
    </row>
    <row r="38" spans="2:3" x14ac:dyDescent="0.3">
      <c r="B38" s="77">
        <v>42036</v>
      </c>
      <c r="C38" s="78">
        <v>154.34</v>
      </c>
    </row>
    <row r="39" spans="2:3" x14ac:dyDescent="0.3">
      <c r="B39" s="77">
        <v>42037</v>
      </c>
      <c r="C39" s="78">
        <v>152.76</v>
      </c>
    </row>
    <row r="40" spans="2:3" x14ac:dyDescent="0.3">
      <c r="B40" s="77">
        <v>42038</v>
      </c>
      <c r="C40" s="78">
        <v>570.22</v>
      </c>
    </row>
    <row r="41" spans="2:3" x14ac:dyDescent="0.3">
      <c r="B41" s="77">
        <v>42039</v>
      </c>
      <c r="C41" s="78">
        <v>987.62</v>
      </c>
    </row>
    <row r="42" spans="2:3" x14ac:dyDescent="0.3">
      <c r="B42" s="77">
        <v>42040</v>
      </c>
      <c r="C42" s="78">
        <v>1755.71</v>
      </c>
    </row>
    <row r="43" spans="2:3" x14ac:dyDescent="0.3">
      <c r="B43" s="77">
        <v>42041</v>
      </c>
      <c r="C43" s="78">
        <v>378.27</v>
      </c>
    </row>
    <row r="44" spans="2:3" x14ac:dyDescent="0.3">
      <c r="B44" s="77">
        <v>42042</v>
      </c>
      <c r="C44" s="78">
        <v>1323.81</v>
      </c>
    </row>
    <row r="45" spans="2:3" x14ac:dyDescent="0.3">
      <c r="B45" s="77">
        <v>42043</v>
      </c>
      <c r="C45" s="78">
        <v>399.02</v>
      </c>
    </row>
    <row r="46" spans="2:3" x14ac:dyDescent="0.3">
      <c r="B46" s="77">
        <v>42044</v>
      </c>
      <c r="C46" s="78">
        <v>154.94999999999999</v>
      </c>
    </row>
    <row r="47" spans="2:3" x14ac:dyDescent="0.3">
      <c r="B47" s="77">
        <v>42045</v>
      </c>
      <c r="C47" s="78">
        <v>1254.57</v>
      </c>
    </row>
    <row r="48" spans="2:3" x14ac:dyDescent="0.3">
      <c r="B48" s="77">
        <v>42046</v>
      </c>
      <c r="C48" s="78">
        <v>627.32000000000005</v>
      </c>
    </row>
    <row r="49" spans="2:3" x14ac:dyDescent="0.3">
      <c r="B49" s="77">
        <v>42230</v>
      </c>
      <c r="C49" s="78">
        <v>880.6</v>
      </c>
    </row>
    <row r="50" spans="2:3" x14ac:dyDescent="0.3">
      <c r="B50" s="77">
        <v>42048</v>
      </c>
      <c r="C50" s="78">
        <v>1196.03</v>
      </c>
    </row>
    <row r="51" spans="2:3" x14ac:dyDescent="0.3">
      <c r="B51" s="77">
        <v>42049</v>
      </c>
      <c r="C51" s="78">
        <v>782.32</v>
      </c>
    </row>
    <row r="52" spans="2:3" x14ac:dyDescent="0.3">
      <c r="B52" s="77">
        <v>42050</v>
      </c>
      <c r="C52" s="78">
        <v>1323.35</v>
      </c>
    </row>
    <row r="53" spans="2:3" x14ac:dyDescent="0.3">
      <c r="B53" s="77">
        <v>42051</v>
      </c>
      <c r="C53" s="78">
        <v>209.92</v>
      </c>
    </row>
    <row r="54" spans="2:3" x14ac:dyDescent="0.3">
      <c r="B54" s="77">
        <v>42052</v>
      </c>
      <c r="C54" s="78">
        <v>1232.05</v>
      </c>
    </row>
    <row r="55" spans="2:3" x14ac:dyDescent="0.3">
      <c r="B55" s="77">
        <v>42053</v>
      </c>
      <c r="C55" s="78">
        <v>713.28</v>
      </c>
    </row>
    <row r="56" spans="2:3" x14ac:dyDescent="0.3">
      <c r="B56" s="77">
        <v>42054</v>
      </c>
      <c r="C56" s="78">
        <v>1674.82</v>
      </c>
    </row>
    <row r="57" spans="2:3" x14ac:dyDescent="0.3">
      <c r="B57" s="77">
        <v>42055</v>
      </c>
      <c r="C57" s="78">
        <v>1161.25</v>
      </c>
    </row>
    <row r="58" spans="2:3" x14ac:dyDescent="0.3">
      <c r="B58" s="77">
        <v>42056</v>
      </c>
      <c r="C58" s="78">
        <v>897.63</v>
      </c>
    </row>
    <row r="59" spans="2:3" x14ac:dyDescent="0.3">
      <c r="B59" s="77">
        <v>42057</v>
      </c>
      <c r="C59" s="78">
        <v>1647.26</v>
      </c>
    </row>
    <row r="60" spans="2:3" x14ac:dyDescent="0.3">
      <c r="B60" s="77">
        <v>42058</v>
      </c>
      <c r="C60" s="78">
        <v>1121.96</v>
      </c>
    </row>
    <row r="61" spans="2:3" x14ac:dyDescent="0.3">
      <c r="B61" s="77">
        <v>42059</v>
      </c>
      <c r="C61" s="78">
        <v>352.2</v>
      </c>
    </row>
    <row r="62" spans="2:3" x14ac:dyDescent="0.3">
      <c r="B62" s="77">
        <v>42060</v>
      </c>
      <c r="C62" s="78">
        <v>270.77999999999997</v>
      </c>
    </row>
    <row r="63" spans="2:3" x14ac:dyDescent="0.3">
      <c r="B63" s="77">
        <v>42061</v>
      </c>
      <c r="C63" s="78">
        <v>456.41</v>
      </c>
    </row>
    <row r="64" spans="2:3" x14ac:dyDescent="0.3">
      <c r="B64" s="77">
        <v>42062</v>
      </c>
      <c r="C64" s="78">
        <v>441</v>
      </c>
    </row>
    <row r="65" spans="2:3" x14ac:dyDescent="0.3">
      <c r="B65" s="77">
        <v>42063</v>
      </c>
      <c r="C65" s="78">
        <v>252.44</v>
      </c>
    </row>
    <row r="66" spans="2:3" x14ac:dyDescent="0.3">
      <c r="B66" s="77">
        <v>42064</v>
      </c>
      <c r="C66" s="78">
        <v>1298.92</v>
      </c>
    </row>
    <row r="67" spans="2:3" x14ac:dyDescent="0.3">
      <c r="B67" s="77">
        <v>42065</v>
      </c>
      <c r="C67" s="78">
        <v>1178.07</v>
      </c>
    </row>
    <row r="68" spans="2:3" x14ac:dyDescent="0.3">
      <c r="B68" s="77">
        <v>42066</v>
      </c>
      <c r="C68" s="78">
        <v>459.95</v>
      </c>
    </row>
    <row r="69" spans="2:3" x14ac:dyDescent="0.3">
      <c r="B69" s="77">
        <v>42067</v>
      </c>
      <c r="C69" s="78">
        <v>1219.7</v>
      </c>
    </row>
    <row r="70" spans="2:3" x14ac:dyDescent="0.3">
      <c r="B70" s="77">
        <v>42068</v>
      </c>
      <c r="C70" s="78">
        <v>152.24</v>
      </c>
    </row>
    <row r="71" spans="2:3" x14ac:dyDescent="0.3">
      <c r="B71" s="77">
        <v>42069</v>
      </c>
      <c r="C71" s="78">
        <v>770.8</v>
      </c>
    </row>
    <row r="72" spans="2:3" x14ac:dyDescent="0.3">
      <c r="B72" s="77">
        <v>42070</v>
      </c>
      <c r="C72" s="78">
        <v>1357.25</v>
      </c>
    </row>
    <row r="73" spans="2:3" x14ac:dyDescent="0.3">
      <c r="B73" s="77">
        <v>42187</v>
      </c>
      <c r="C73" s="78">
        <v>220.18</v>
      </c>
    </row>
    <row r="74" spans="2:3" x14ac:dyDescent="0.3">
      <c r="B74" s="77">
        <v>42072</v>
      </c>
      <c r="C74" s="78">
        <v>1102.81</v>
      </c>
    </row>
    <row r="75" spans="2:3" x14ac:dyDescent="0.3">
      <c r="B75" s="77">
        <v>42073</v>
      </c>
      <c r="C75" s="78">
        <v>1566.83</v>
      </c>
    </row>
    <row r="76" spans="2:3" x14ac:dyDescent="0.3">
      <c r="B76" s="77">
        <v>42074</v>
      </c>
      <c r="C76" s="78">
        <v>437.92</v>
      </c>
    </row>
    <row r="77" spans="2:3" x14ac:dyDescent="0.3">
      <c r="B77" s="77">
        <v>42075</v>
      </c>
      <c r="C77" s="78">
        <v>1216.1199999999999</v>
      </c>
    </row>
    <row r="78" spans="2:3" x14ac:dyDescent="0.3">
      <c r="B78" s="77">
        <v>42076</v>
      </c>
      <c r="C78" s="78">
        <v>273.10000000000002</v>
      </c>
    </row>
    <row r="79" spans="2:3" x14ac:dyDescent="0.3">
      <c r="B79" s="77">
        <v>42077</v>
      </c>
      <c r="C79" s="78">
        <v>242.26</v>
      </c>
    </row>
    <row r="80" spans="2:3" x14ac:dyDescent="0.3">
      <c r="B80" s="77">
        <v>42078</v>
      </c>
      <c r="C80" s="78">
        <v>1512.6</v>
      </c>
    </row>
    <row r="81" spans="2:3" x14ac:dyDescent="0.3">
      <c r="B81" s="77">
        <v>42079</v>
      </c>
      <c r="C81" s="78">
        <v>783.75</v>
      </c>
    </row>
    <row r="82" spans="2:3" x14ac:dyDescent="0.3">
      <c r="B82" s="77">
        <v>42189</v>
      </c>
      <c r="C82" s="78">
        <v>667.99</v>
      </c>
    </row>
    <row r="83" spans="2:3" x14ac:dyDescent="0.3">
      <c r="B83" s="77">
        <v>42081</v>
      </c>
      <c r="C83" s="78">
        <v>1166.31</v>
      </c>
    </row>
    <row r="84" spans="2:3" x14ac:dyDescent="0.3">
      <c r="B84" s="77">
        <v>42082</v>
      </c>
      <c r="C84" s="78">
        <v>770.18</v>
      </c>
    </row>
    <row r="85" spans="2:3" x14ac:dyDescent="0.3">
      <c r="B85" s="77">
        <v>42083</v>
      </c>
      <c r="C85" s="78">
        <v>132.34</v>
      </c>
    </row>
    <row r="86" spans="2:3" x14ac:dyDescent="0.3">
      <c r="B86" s="77">
        <v>42084</v>
      </c>
      <c r="C86" s="78">
        <v>1188.81</v>
      </c>
    </row>
    <row r="87" spans="2:3" x14ac:dyDescent="0.3">
      <c r="B87" s="77">
        <v>42085</v>
      </c>
      <c r="C87" s="78">
        <v>198.06</v>
      </c>
    </row>
    <row r="88" spans="2:3" x14ac:dyDescent="0.3">
      <c r="B88" s="77">
        <v>42086</v>
      </c>
      <c r="C88" s="78">
        <v>594.16999999999996</v>
      </c>
    </row>
    <row r="89" spans="2:3" x14ac:dyDescent="0.3">
      <c r="B89" s="77">
        <v>42087</v>
      </c>
      <c r="C89" s="78">
        <v>931.09</v>
      </c>
    </row>
    <row r="90" spans="2:3" x14ac:dyDescent="0.3">
      <c r="B90" s="77">
        <v>42088</v>
      </c>
      <c r="C90" s="78">
        <v>299.64</v>
      </c>
    </row>
    <row r="91" spans="2:3" x14ac:dyDescent="0.3">
      <c r="B91" s="77">
        <v>42223</v>
      </c>
      <c r="C91" s="78">
        <v>1701.68</v>
      </c>
    </row>
    <row r="92" spans="2:3" x14ac:dyDescent="0.3">
      <c r="B92" s="77">
        <v>42090</v>
      </c>
      <c r="C92" s="78">
        <v>399.15</v>
      </c>
    </row>
    <row r="93" spans="2:3" x14ac:dyDescent="0.3">
      <c r="B93" s="77">
        <v>42091</v>
      </c>
      <c r="C93" s="78">
        <v>374.81</v>
      </c>
    </row>
    <row r="94" spans="2:3" x14ac:dyDescent="0.3">
      <c r="B94" s="77">
        <v>42092</v>
      </c>
      <c r="C94" s="78">
        <v>462.17</v>
      </c>
    </row>
    <row r="95" spans="2:3" x14ac:dyDescent="0.3">
      <c r="B95" s="77">
        <v>42093</v>
      </c>
      <c r="C95" s="78">
        <v>924.29</v>
      </c>
    </row>
    <row r="96" spans="2:3" x14ac:dyDescent="0.3">
      <c r="B96" s="77">
        <v>42094</v>
      </c>
      <c r="C96" s="78">
        <v>5000.6000000000004</v>
      </c>
    </row>
    <row r="97" spans="3:3" x14ac:dyDescent="0.3">
      <c r="C97" s="69">
        <f>SUM(C7:C96)</f>
        <v>72741.76999999996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2F36A-E49E-49B2-A062-C48A384CD750}">
  <sheetPr codeName="Sheet18"/>
  <dimension ref="A1:F184"/>
  <sheetViews>
    <sheetView topLeftCell="A2" workbookViewId="0">
      <selection activeCell="C22" sqref="C22"/>
    </sheetView>
  </sheetViews>
  <sheetFormatPr defaultRowHeight="14.4" x14ac:dyDescent="0.3"/>
  <cols>
    <col min="1" max="1" width="35.21875" customWidth="1"/>
    <col min="2" max="2" width="70.21875" bestFit="1" customWidth="1"/>
    <col min="3" max="3" width="12.5546875" bestFit="1" customWidth="1"/>
  </cols>
  <sheetData>
    <row r="1" spans="1:6" ht="100.8" x14ac:dyDescent="0.3">
      <c r="A1" s="14" t="s">
        <v>274</v>
      </c>
    </row>
    <row r="3" spans="1:6" x14ac:dyDescent="0.3">
      <c r="A3" t="s">
        <v>1</v>
      </c>
      <c r="B3" s="7" t="s">
        <v>275</v>
      </c>
      <c r="C3" s="6"/>
      <c r="D3" s="6"/>
      <c r="E3" s="6"/>
      <c r="F3" s="6"/>
    </row>
    <row r="5" spans="1:6" x14ac:dyDescent="0.3">
      <c r="B5" s="5" t="s">
        <v>276</v>
      </c>
      <c r="C5" s="79" t="s">
        <v>277</v>
      </c>
      <c r="D5" s="6"/>
      <c r="E5" s="47"/>
      <c r="F5" s="6"/>
    </row>
    <row r="6" spans="1:6" x14ac:dyDescent="0.3">
      <c r="B6" s="7" t="s">
        <v>278</v>
      </c>
      <c r="C6" s="88">
        <f>SUM(D27:D184)</f>
        <v>99498</v>
      </c>
      <c r="D6" s="7"/>
      <c r="E6" s="7"/>
      <c r="F6" s="6"/>
    </row>
    <row r="8" spans="1:6" x14ac:dyDescent="0.3">
      <c r="B8" s="5" t="s">
        <v>276</v>
      </c>
      <c r="C8" s="79" t="s">
        <v>279</v>
      </c>
      <c r="D8" s="6"/>
      <c r="E8" s="6"/>
      <c r="F8" s="6"/>
    </row>
    <row r="9" spans="1:6" x14ac:dyDescent="0.3">
      <c r="B9" s="7" t="s">
        <v>278</v>
      </c>
      <c r="C9" s="88">
        <f>SUM(E27:E184)</f>
        <v>211409</v>
      </c>
      <c r="D9" s="7"/>
      <c r="E9" s="6"/>
      <c r="F9" s="6"/>
    </row>
    <row r="11" spans="1:6" x14ac:dyDescent="0.3">
      <c r="B11" s="5" t="s">
        <v>276</v>
      </c>
      <c r="C11" s="79" t="s">
        <v>280</v>
      </c>
      <c r="D11" s="6"/>
      <c r="E11" s="6"/>
      <c r="F11" s="6"/>
    </row>
    <row r="12" spans="1:6" x14ac:dyDescent="0.3">
      <c r="B12" s="7" t="s">
        <v>278</v>
      </c>
      <c r="C12" s="88">
        <f>SUM(F27:F184)</f>
        <v>127820</v>
      </c>
      <c r="D12" s="7"/>
      <c r="E12" s="6"/>
      <c r="F12" s="6"/>
    </row>
    <row r="14" spans="1:6" x14ac:dyDescent="0.3">
      <c r="B14" s="80" t="s">
        <v>281</v>
      </c>
      <c r="C14" s="81"/>
      <c r="D14" s="81"/>
      <c r="E14" s="81"/>
      <c r="F14" s="6"/>
    </row>
    <row r="15" spans="1:6" x14ac:dyDescent="0.3">
      <c r="B15" s="6"/>
      <c r="C15" s="89">
        <f>SUM(D29:F29)</f>
        <v>5124</v>
      </c>
      <c r="D15" s="7"/>
      <c r="E15" s="7"/>
      <c r="F15" s="7"/>
    </row>
    <row r="17" spans="2:6" x14ac:dyDescent="0.3">
      <c r="B17" s="80" t="s">
        <v>282</v>
      </c>
      <c r="C17" s="81"/>
      <c r="D17" s="81"/>
      <c r="E17" s="81"/>
      <c r="F17" s="81"/>
    </row>
    <row r="18" spans="2:6" x14ac:dyDescent="0.3">
      <c r="B18" s="6"/>
      <c r="C18" s="89">
        <f>SUM(D27:F46)</f>
        <v>89884</v>
      </c>
      <c r="D18" s="7"/>
      <c r="E18" s="86"/>
      <c r="F18" s="7"/>
    </row>
    <row r="19" spans="2:6" x14ac:dyDescent="0.3">
      <c r="B19" s="6"/>
      <c r="C19" s="6"/>
      <c r="D19" s="6"/>
      <c r="E19" s="86"/>
      <c r="F19" s="7"/>
    </row>
    <row r="20" spans="2:6" x14ac:dyDescent="0.3">
      <c r="B20" s="80" t="s">
        <v>283</v>
      </c>
      <c r="C20" s="81"/>
      <c r="D20" s="81"/>
      <c r="E20" s="81"/>
      <c r="F20" s="81"/>
    </row>
    <row r="21" spans="2:6" x14ac:dyDescent="0.3">
      <c r="B21" s="7" t="s">
        <v>284</v>
      </c>
      <c r="C21" s="90">
        <f>SUM(D27:D184)+SUM(F27:F184)</f>
        <v>227318</v>
      </c>
      <c r="D21" s="7"/>
      <c r="E21" s="6"/>
      <c r="F21" s="5"/>
    </row>
    <row r="22" spans="2:6" x14ac:dyDescent="0.3">
      <c r="B22" s="7" t="s">
        <v>285</v>
      </c>
      <c r="C22" s="91">
        <f>SUM(C6,C12)</f>
        <v>227318</v>
      </c>
      <c r="D22" s="7"/>
      <c r="E22" s="6"/>
      <c r="F22" s="7"/>
    </row>
    <row r="23" spans="2:6" x14ac:dyDescent="0.3">
      <c r="B23" s="7"/>
      <c r="C23" s="6"/>
      <c r="D23" s="6"/>
      <c r="E23" s="6"/>
      <c r="F23" s="7"/>
    </row>
    <row r="24" spans="2:6" x14ac:dyDescent="0.3">
      <c r="B24" s="6"/>
      <c r="C24" s="6"/>
      <c r="D24" s="6"/>
      <c r="E24" s="6"/>
      <c r="F24" s="7"/>
    </row>
    <row r="25" spans="2:6" x14ac:dyDescent="0.3">
      <c r="B25" s="6"/>
      <c r="C25" s="6"/>
      <c r="D25" s="129" t="s">
        <v>276</v>
      </c>
      <c r="E25" s="130"/>
      <c r="F25" s="131"/>
    </row>
    <row r="26" spans="2:6" x14ac:dyDescent="0.3">
      <c r="B26" s="82" t="s">
        <v>286</v>
      </c>
      <c r="C26" s="83" t="s">
        <v>287</v>
      </c>
      <c r="D26" s="79" t="s">
        <v>277</v>
      </c>
      <c r="E26" s="79" t="s">
        <v>279</v>
      </c>
      <c r="F26" s="79" t="s">
        <v>280</v>
      </c>
    </row>
    <row r="27" spans="2:6" x14ac:dyDescent="0.3">
      <c r="B27" s="87" t="s">
        <v>288</v>
      </c>
      <c r="C27" s="87" t="s">
        <v>289</v>
      </c>
      <c r="D27" s="84">
        <v>3419</v>
      </c>
      <c r="E27" s="84">
        <v>4378</v>
      </c>
      <c r="F27" s="85">
        <v>2755</v>
      </c>
    </row>
    <row r="28" spans="2:6" x14ac:dyDescent="0.3">
      <c r="B28" s="87" t="s">
        <v>288</v>
      </c>
      <c r="C28" s="87" t="s">
        <v>290</v>
      </c>
      <c r="D28" s="84">
        <v>1492</v>
      </c>
      <c r="E28" s="84">
        <v>2126</v>
      </c>
      <c r="F28" s="85">
        <v>2103</v>
      </c>
    </row>
    <row r="29" spans="2:6" x14ac:dyDescent="0.3">
      <c r="B29" s="87" t="s">
        <v>288</v>
      </c>
      <c r="C29" s="87" t="s">
        <v>291</v>
      </c>
      <c r="D29" s="84">
        <v>1371</v>
      </c>
      <c r="E29" s="84">
        <v>1930</v>
      </c>
      <c r="F29" s="85">
        <v>1823</v>
      </c>
    </row>
    <row r="30" spans="2:6" x14ac:dyDescent="0.3">
      <c r="B30" s="87" t="s">
        <v>288</v>
      </c>
      <c r="C30" s="87" t="s">
        <v>292</v>
      </c>
      <c r="D30" s="84">
        <v>1607</v>
      </c>
      <c r="E30" s="84">
        <v>2133</v>
      </c>
      <c r="F30" s="85">
        <v>2102</v>
      </c>
    </row>
    <row r="31" spans="2:6" x14ac:dyDescent="0.3">
      <c r="B31" s="87" t="s">
        <v>288</v>
      </c>
      <c r="C31" s="87" t="s">
        <v>293</v>
      </c>
      <c r="D31" s="84">
        <v>951</v>
      </c>
      <c r="E31" s="84">
        <v>1445</v>
      </c>
      <c r="F31" s="85">
        <v>1416</v>
      </c>
    </row>
    <row r="32" spans="2:6" x14ac:dyDescent="0.3">
      <c r="B32" s="87" t="s">
        <v>288</v>
      </c>
      <c r="C32" s="87" t="s">
        <v>294</v>
      </c>
      <c r="D32" s="84">
        <v>889</v>
      </c>
      <c r="E32" s="84">
        <v>1293</v>
      </c>
      <c r="F32" s="85">
        <v>1526</v>
      </c>
    </row>
    <row r="33" spans="2:6" x14ac:dyDescent="0.3">
      <c r="B33" s="87" t="s">
        <v>288</v>
      </c>
      <c r="C33" s="87" t="s">
        <v>295</v>
      </c>
      <c r="D33" s="84">
        <v>1254</v>
      </c>
      <c r="E33" s="84">
        <v>1989</v>
      </c>
      <c r="F33" s="85">
        <v>1685</v>
      </c>
    </row>
    <row r="34" spans="2:6" x14ac:dyDescent="0.3">
      <c r="B34" s="87" t="s">
        <v>288</v>
      </c>
      <c r="C34" s="87" t="s">
        <v>296</v>
      </c>
      <c r="D34" s="84">
        <v>1025</v>
      </c>
      <c r="E34" s="84">
        <v>1362</v>
      </c>
      <c r="F34" s="85">
        <v>2077</v>
      </c>
    </row>
    <row r="35" spans="2:6" x14ac:dyDescent="0.3">
      <c r="B35" s="87" t="s">
        <v>288</v>
      </c>
      <c r="C35" s="87" t="s">
        <v>297</v>
      </c>
      <c r="D35" s="84">
        <v>1194</v>
      </c>
      <c r="E35" s="84">
        <v>2016</v>
      </c>
      <c r="F35" s="85">
        <v>1452</v>
      </c>
    </row>
    <row r="36" spans="2:6" x14ac:dyDescent="0.3">
      <c r="B36" s="87" t="s">
        <v>288</v>
      </c>
      <c r="C36" s="87" t="s">
        <v>298</v>
      </c>
      <c r="D36" s="84">
        <v>607</v>
      </c>
      <c r="E36" s="84">
        <v>853</v>
      </c>
      <c r="F36" s="85">
        <v>1022</v>
      </c>
    </row>
    <row r="37" spans="2:6" x14ac:dyDescent="0.3">
      <c r="B37" s="87" t="s">
        <v>288</v>
      </c>
      <c r="C37" s="87" t="s">
        <v>299</v>
      </c>
      <c r="D37" s="84">
        <v>626</v>
      </c>
      <c r="E37" s="84">
        <v>1569</v>
      </c>
      <c r="F37" s="85">
        <v>1033</v>
      </c>
    </row>
    <row r="38" spans="2:6" x14ac:dyDescent="0.3">
      <c r="B38" s="87" t="s">
        <v>288</v>
      </c>
      <c r="C38" s="87" t="s">
        <v>300</v>
      </c>
      <c r="D38" s="84">
        <v>1037</v>
      </c>
      <c r="E38" s="84">
        <v>2300</v>
      </c>
      <c r="F38" s="85">
        <v>1598</v>
      </c>
    </row>
    <row r="39" spans="2:6" x14ac:dyDescent="0.3">
      <c r="B39" s="87" t="s">
        <v>288</v>
      </c>
      <c r="C39" s="87" t="s">
        <v>301</v>
      </c>
      <c r="D39" s="84">
        <v>972</v>
      </c>
      <c r="E39" s="84">
        <v>2128</v>
      </c>
      <c r="F39" s="85">
        <v>912</v>
      </c>
    </row>
    <row r="40" spans="2:6" x14ac:dyDescent="0.3">
      <c r="B40" s="87" t="s">
        <v>288</v>
      </c>
      <c r="C40" s="87" t="s">
        <v>302</v>
      </c>
      <c r="D40" s="84">
        <v>88</v>
      </c>
      <c r="E40" s="84">
        <v>1159</v>
      </c>
      <c r="F40" s="85">
        <v>0</v>
      </c>
    </row>
    <row r="41" spans="2:6" x14ac:dyDescent="0.3">
      <c r="B41" s="87" t="s">
        <v>288</v>
      </c>
      <c r="C41" s="87" t="s">
        <v>303</v>
      </c>
      <c r="D41" s="84">
        <v>2052</v>
      </c>
      <c r="E41" s="84">
        <v>2159</v>
      </c>
      <c r="F41" s="85">
        <v>1582</v>
      </c>
    </row>
    <row r="42" spans="2:6" x14ac:dyDescent="0.3">
      <c r="B42" s="87" t="s">
        <v>288</v>
      </c>
      <c r="C42" s="87" t="s">
        <v>304</v>
      </c>
      <c r="D42" s="84">
        <v>1582</v>
      </c>
      <c r="E42" s="84">
        <v>2308</v>
      </c>
      <c r="F42" s="85">
        <v>1699</v>
      </c>
    </row>
    <row r="43" spans="2:6" x14ac:dyDescent="0.3">
      <c r="B43" s="87" t="s">
        <v>288</v>
      </c>
      <c r="C43" s="87" t="s">
        <v>305</v>
      </c>
      <c r="D43" s="84">
        <v>1088</v>
      </c>
      <c r="E43" s="84">
        <v>1218</v>
      </c>
      <c r="F43" s="85">
        <v>981</v>
      </c>
    </row>
    <row r="44" spans="2:6" x14ac:dyDescent="0.3">
      <c r="B44" s="87" t="s">
        <v>288</v>
      </c>
      <c r="C44" s="87" t="s">
        <v>306</v>
      </c>
      <c r="D44" s="84">
        <v>706</v>
      </c>
      <c r="E44" s="84">
        <v>1151</v>
      </c>
      <c r="F44" s="85">
        <v>1145</v>
      </c>
    </row>
    <row r="45" spans="2:6" x14ac:dyDescent="0.3">
      <c r="B45" s="87" t="s">
        <v>288</v>
      </c>
      <c r="C45" s="87" t="s">
        <v>307</v>
      </c>
      <c r="D45" s="84">
        <v>1335</v>
      </c>
      <c r="E45" s="84">
        <v>2098</v>
      </c>
      <c r="F45" s="85">
        <v>1322</v>
      </c>
    </row>
    <row r="46" spans="2:6" x14ac:dyDescent="0.3">
      <c r="B46" s="87" t="s">
        <v>288</v>
      </c>
      <c r="C46" s="87" t="s">
        <v>308</v>
      </c>
      <c r="D46" s="84">
        <v>702</v>
      </c>
      <c r="E46" s="84">
        <v>1162</v>
      </c>
      <c r="F46" s="85">
        <v>877</v>
      </c>
    </row>
    <row r="47" spans="2:6" x14ac:dyDescent="0.3">
      <c r="B47" s="87" t="s">
        <v>288</v>
      </c>
      <c r="C47" s="87" t="s">
        <v>309</v>
      </c>
      <c r="D47" s="84">
        <v>968</v>
      </c>
      <c r="E47" s="84">
        <v>1101</v>
      </c>
      <c r="F47" s="85">
        <v>797</v>
      </c>
    </row>
    <row r="48" spans="2:6" x14ac:dyDescent="0.3">
      <c r="B48" s="87" t="s">
        <v>288</v>
      </c>
      <c r="C48" s="87" t="s">
        <v>310</v>
      </c>
      <c r="D48" s="84">
        <v>1664</v>
      </c>
      <c r="E48" s="84">
        <v>2069</v>
      </c>
      <c r="F48" s="85">
        <v>1710</v>
      </c>
    </row>
    <row r="49" spans="2:6" x14ac:dyDescent="0.3">
      <c r="B49" s="87" t="s">
        <v>288</v>
      </c>
      <c r="C49" s="87" t="s">
        <v>311</v>
      </c>
      <c r="D49" s="84">
        <v>624</v>
      </c>
      <c r="E49" s="84">
        <v>770</v>
      </c>
      <c r="F49" s="85">
        <v>746</v>
      </c>
    </row>
    <row r="50" spans="2:6" x14ac:dyDescent="0.3">
      <c r="B50" s="87" t="s">
        <v>288</v>
      </c>
      <c r="C50" s="87" t="s">
        <v>312</v>
      </c>
      <c r="D50" s="84">
        <v>685</v>
      </c>
      <c r="E50" s="84">
        <v>1501</v>
      </c>
      <c r="F50" s="85">
        <v>1126</v>
      </c>
    </row>
    <row r="51" spans="2:6" x14ac:dyDescent="0.3">
      <c r="B51" s="87" t="s">
        <v>288</v>
      </c>
      <c r="C51" s="87" t="s">
        <v>313</v>
      </c>
      <c r="D51" s="84">
        <v>1248</v>
      </c>
      <c r="E51" s="84">
        <v>1763</v>
      </c>
      <c r="F51" s="85">
        <v>1146</v>
      </c>
    </row>
    <row r="52" spans="2:6" x14ac:dyDescent="0.3">
      <c r="B52" s="87" t="s">
        <v>288</v>
      </c>
      <c r="C52" s="87" t="s">
        <v>314</v>
      </c>
      <c r="D52" s="84">
        <v>1342</v>
      </c>
      <c r="E52" s="84">
        <v>1559</v>
      </c>
      <c r="F52" s="85">
        <v>1307</v>
      </c>
    </row>
    <row r="53" spans="2:6" x14ac:dyDescent="0.3">
      <c r="B53" s="87" t="s">
        <v>288</v>
      </c>
      <c r="C53" s="87" t="s">
        <v>315</v>
      </c>
      <c r="D53" s="84">
        <v>760</v>
      </c>
      <c r="E53" s="84">
        <v>965</v>
      </c>
      <c r="F53" s="85">
        <v>921</v>
      </c>
    </row>
    <row r="54" spans="2:6" x14ac:dyDescent="0.3">
      <c r="B54" s="87" t="s">
        <v>288</v>
      </c>
      <c r="C54" s="87" t="s">
        <v>316</v>
      </c>
      <c r="D54" s="84">
        <v>1187</v>
      </c>
      <c r="E54" s="84">
        <v>1568</v>
      </c>
      <c r="F54" s="85">
        <v>1190</v>
      </c>
    </row>
    <row r="55" spans="2:6" x14ac:dyDescent="0.3">
      <c r="B55" s="87" t="s">
        <v>288</v>
      </c>
      <c r="C55" s="87" t="s">
        <v>317</v>
      </c>
      <c r="D55" s="84">
        <v>0</v>
      </c>
      <c r="E55" s="84">
        <v>0</v>
      </c>
      <c r="F55" s="85">
        <v>277</v>
      </c>
    </row>
    <row r="56" spans="2:6" x14ac:dyDescent="0.3">
      <c r="B56" s="87" t="s">
        <v>288</v>
      </c>
      <c r="C56" s="87" t="s">
        <v>318</v>
      </c>
      <c r="D56" s="84">
        <v>368</v>
      </c>
      <c r="E56" s="84">
        <v>1386</v>
      </c>
      <c r="F56" s="85">
        <v>637</v>
      </c>
    </row>
    <row r="57" spans="2:6" x14ac:dyDescent="0.3">
      <c r="B57" s="87" t="s">
        <v>288</v>
      </c>
      <c r="C57" s="87" t="s">
        <v>319</v>
      </c>
      <c r="D57" s="84">
        <v>317</v>
      </c>
      <c r="E57" s="84">
        <v>1215</v>
      </c>
      <c r="F57" s="85">
        <v>478</v>
      </c>
    </row>
    <row r="58" spans="2:6" x14ac:dyDescent="0.3">
      <c r="B58" s="87" t="s">
        <v>288</v>
      </c>
      <c r="C58" s="87" t="s">
        <v>320</v>
      </c>
      <c r="D58" s="84">
        <v>689</v>
      </c>
      <c r="E58" s="84">
        <v>2544</v>
      </c>
      <c r="F58" s="85">
        <v>1009</v>
      </c>
    </row>
    <row r="59" spans="2:6" x14ac:dyDescent="0.3">
      <c r="B59" s="87" t="s">
        <v>288</v>
      </c>
      <c r="C59" s="87" t="s">
        <v>321</v>
      </c>
      <c r="D59" s="84">
        <v>510</v>
      </c>
      <c r="E59" s="84">
        <v>2583</v>
      </c>
      <c r="F59" s="85">
        <v>861</v>
      </c>
    </row>
    <row r="60" spans="2:6" x14ac:dyDescent="0.3">
      <c r="B60" s="87" t="s">
        <v>288</v>
      </c>
      <c r="C60" s="87" t="s">
        <v>322</v>
      </c>
      <c r="D60" s="84">
        <v>257</v>
      </c>
      <c r="E60" s="84">
        <v>1023</v>
      </c>
      <c r="F60" s="85">
        <v>446</v>
      </c>
    </row>
    <row r="61" spans="2:6" x14ac:dyDescent="0.3">
      <c r="B61" s="87" t="s">
        <v>288</v>
      </c>
      <c r="C61" s="87" t="s">
        <v>323</v>
      </c>
      <c r="D61" s="84">
        <v>335</v>
      </c>
      <c r="E61" s="84">
        <v>1225</v>
      </c>
      <c r="F61" s="85">
        <v>520</v>
      </c>
    </row>
    <row r="62" spans="2:6" x14ac:dyDescent="0.3">
      <c r="B62" s="87" t="s">
        <v>288</v>
      </c>
      <c r="C62" s="87" t="s">
        <v>324</v>
      </c>
      <c r="D62" s="84">
        <v>264</v>
      </c>
      <c r="E62" s="84">
        <v>957</v>
      </c>
      <c r="F62" s="85">
        <v>405</v>
      </c>
    </row>
    <row r="63" spans="2:6" x14ac:dyDescent="0.3">
      <c r="B63" s="87" t="s">
        <v>288</v>
      </c>
      <c r="C63" s="87" t="s">
        <v>325</v>
      </c>
      <c r="D63" s="84">
        <v>285</v>
      </c>
      <c r="E63" s="84">
        <v>869</v>
      </c>
      <c r="F63" s="85">
        <v>434</v>
      </c>
    </row>
    <row r="64" spans="2:6" x14ac:dyDescent="0.3">
      <c r="B64" s="87" t="s">
        <v>288</v>
      </c>
      <c r="C64" s="87" t="s">
        <v>326</v>
      </c>
      <c r="D64" s="84">
        <v>550</v>
      </c>
      <c r="E64" s="84">
        <v>2502</v>
      </c>
      <c r="F64" s="85">
        <v>822</v>
      </c>
    </row>
    <row r="65" spans="2:6" x14ac:dyDescent="0.3">
      <c r="B65" s="87" t="s">
        <v>288</v>
      </c>
      <c r="C65" s="87" t="s">
        <v>327</v>
      </c>
      <c r="D65" s="84">
        <v>266</v>
      </c>
      <c r="E65" s="84">
        <v>1382</v>
      </c>
      <c r="F65" s="85">
        <v>501</v>
      </c>
    </row>
    <row r="66" spans="2:6" x14ac:dyDescent="0.3">
      <c r="B66" s="87" t="s">
        <v>288</v>
      </c>
      <c r="C66" s="87" t="s">
        <v>328</v>
      </c>
      <c r="D66" s="84">
        <v>598</v>
      </c>
      <c r="E66" s="84">
        <v>2107</v>
      </c>
      <c r="F66" s="85">
        <v>1002</v>
      </c>
    </row>
    <row r="67" spans="2:6" x14ac:dyDescent="0.3">
      <c r="B67" s="87" t="s">
        <v>288</v>
      </c>
      <c r="C67" s="87" t="s">
        <v>329</v>
      </c>
      <c r="D67" s="84">
        <v>344</v>
      </c>
      <c r="E67" s="84">
        <v>1641</v>
      </c>
      <c r="F67" s="85">
        <v>765</v>
      </c>
    </row>
    <row r="68" spans="2:6" x14ac:dyDescent="0.3">
      <c r="B68" s="87" t="s">
        <v>288</v>
      </c>
      <c r="C68" s="87" t="s">
        <v>330</v>
      </c>
      <c r="D68" s="84">
        <v>183</v>
      </c>
      <c r="E68" s="84">
        <v>867</v>
      </c>
      <c r="F68" s="85">
        <v>384</v>
      </c>
    </row>
    <row r="69" spans="2:6" x14ac:dyDescent="0.3">
      <c r="B69" s="87" t="s">
        <v>288</v>
      </c>
      <c r="C69" s="87" t="s">
        <v>331</v>
      </c>
      <c r="D69" s="84">
        <v>302</v>
      </c>
      <c r="E69" s="84">
        <v>1326</v>
      </c>
      <c r="F69" s="85">
        <v>586</v>
      </c>
    </row>
    <row r="70" spans="2:6" x14ac:dyDescent="0.3">
      <c r="B70" s="87" t="s">
        <v>288</v>
      </c>
      <c r="C70" s="87" t="s">
        <v>332</v>
      </c>
      <c r="D70" s="84">
        <v>177</v>
      </c>
      <c r="E70" s="84">
        <v>823</v>
      </c>
      <c r="F70" s="85">
        <v>548</v>
      </c>
    </row>
    <row r="71" spans="2:6" x14ac:dyDescent="0.3">
      <c r="B71" s="87" t="s">
        <v>288</v>
      </c>
      <c r="C71" s="87" t="s">
        <v>333</v>
      </c>
      <c r="D71" s="84">
        <v>285</v>
      </c>
      <c r="E71" s="84">
        <v>1249</v>
      </c>
      <c r="F71" s="85">
        <v>533</v>
      </c>
    </row>
    <row r="72" spans="2:6" x14ac:dyDescent="0.3">
      <c r="B72" s="87" t="s">
        <v>288</v>
      </c>
      <c r="C72" s="87" t="s">
        <v>334</v>
      </c>
      <c r="D72" s="84">
        <v>236</v>
      </c>
      <c r="E72" s="84">
        <v>1162</v>
      </c>
      <c r="F72" s="85">
        <v>402</v>
      </c>
    </row>
    <row r="73" spans="2:6" x14ac:dyDescent="0.3">
      <c r="B73" s="87" t="s">
        <v>288</v>
      </c>
      <c r="C73" s="87" t="s">
        <v>335</v>
      </c>
      <c r="D73" s="84">
        <v>293</v>
      </c>
      <c r="E73" s="84">
        <v>1016</v>
      </c>
      <c r="F73" s="85">
        <v>585</v>
      </c>
    </row>
    <row r="74" spans="2:6" x14ac:dyDescent="0.3">
      <c r="B74" s="87" t="s">
        <v>288</v>
      </c>
      <c r="C74" s="87" t="s">
        <v>336</v>
      </c>
      <c r="D74" s="84">
        <v>242</v>
      </c>
      <c r="E74" s="84">
        <v>1363</v>
      </c>
      <c r="F74" s="85">
        <v>428</v>
      </c>
    </row>
    <row r="75" spans="2:6" x14ac:dyDescent="0.3">
      <c r="B75" s="87" t="s">
        <v>288</v>
      </c>
      <c r="C75" s="87" t="s">
        <v>337</v>
      </c>
      <c r="D75" s="84">
        <v>248</v>
      </c>
      <c r="E75" s="84">
        <v>1398</v>
      </c>
      <c r="F75" s="85">
        <v>476</v>
      </c>
    </row>
    <row r="76" spans="2:6" x14ac:dyDescent="0.3">
      <c r="B76" s="87" t="s">
        <v>288</v>
      </c>
      <c r="C76" s="87" t="s">
        <v>338</v>
      </c>
      <c r="D76" s="84">
        <v>292</v>
      </c>
      <c r="E76" s="84">
        <v>1380</v>
      </c>
      <c r="F76" s="85">
        <v>456</v>
      </c>
    </row>
    <row r="77" spans="2:6" x14ac:dyDescent="0.3">
      <c r="B77" s="87" t="s">
        <v>288</v>
      </c>
      <c r="C77" s="87" t="s">
        <v>339</v>
      </c>
      <c r="D77" s="84">
        <v>196</v>
      </c>
      <c r="E77" s="84">
        <v>1238</v>
      </c>
      <c r="F77" s="85">
        <v>493</v>
      </c>
    </row>
    <row r="78" spans="2:6" x14ac:dyDescent="0.3">
      <c r="B78" s="87" t="s">
        <v>288</v>
      </c>
      <c r="C78" s="87" t="s">
        <v>340</v>
      </c>
      <c r="D78" s="84">
        <v>432</v>
      </c>
      <c r="E78" s="84">
        <v>1216</v>
      </c>
      <c r="F78" s="85">
        <v>552</v>
      </c>
    </row>
    <row r="79" spans="2:6" x14ac:dyDescent="0.3">
      <c r="B79" s="87" t="s">
        <v>288</v>
      </c>
      <c r="C79" s="87" t="s">
        <v>341</v>
      </c>
      <c r="D79" s="84">
        <v>420</v>
      </c>
      <c r="E79" s="84">
        <v>1581</v>
      </c>
      <c r="F79" s="85">
        <v>525</v>
      </c>
    </row>
    <row r="80" spans="2:6" x14ac:dyDescent="0.3">
      <c r="B80" s="87" t="s">
        <v>288</v>
      </c>
      <c r="C80" s="87" t="s">
        <v>342</v>
      </c>
      <c r="D80" s="84">
        <v>398</v>
      </c>
      <c r="E80" s="84">
        <v>1759</v>
      </c>
      <c r="F80" s="85">
        <v>682</v>
      </c>
    </row>
    <row r="81" spans="2:6" x14ac:dyDescent="0.3">
      <c r="B81" s="87" t="s">
        <v>288</v>
      </c>
      <c r="C81" s="87" t="s">
        <v>343</v>
      </c>
      <c r="D81" s="84">
        <v>128</v>
      </c>
      <c r="E81" s="84">
        <v>791</v>
      </c>
      <c r="F81" s="85">
        <v>242</v>
      </c>
    </row>
    <row r="82" spans="2:6" x14ac:dyDescent="0.3">
      <c r="B82" s="87" t="s">
        <v>288</v>
      </c>
      <c r="C82" s="87" t="s">
        <v>344</v>
      </c>
      <c r="D82" s="84">
        <v>225</v>
      </c>
      <c r="E82" s="84">
        <v>935</v>
      </c>
      <c r="F82" s="85">
        <v>432</v>
      </c>
    </row>
    <row r="83" spans="2:6" x14ac:dyDescent="0.3">
      <c r="B83" s="87" t="s">
        <v>288</v>
      </c>
      <c r="C83" s="87" t="s">
        <v>345</v>
      </c>
      <c r="D83" s="84">
        <v>1358</v>
      </c>
      <c r="E83" s="84">
        <v>2231</v>
      </c>
      <c r="F83" s="85">
        <v>1391</v>
      </c>
    </row>
    <row r="84" spans="2:6" x14ac:dyDescent="0.3">
      <c r="B84" s="87" t="s">
        <v>288</v>
      </c>
      <c r="C84" s="87" t="s">
        <v>346</v>
      </c>
      <c r="D84" s="84">
        <v>1345</v>
      </c>
      <c r="E84" s="84">
        <v>1791</v>
      </c>
      <c r="F84" s="85">
        <v>1460</v>
      </c>
    </row>
    <row r="85" spans="2:6" x14ac:dyDescent="0.3">
      <c r="B85" s="87" t="s">
        <v>288</v>
      </c>
      <c r="C85" s="87" t="s">
        <v>347</v>
      </c>
      <c r="D85" s="84">
        <v>769</v>
      </c>
      <c r="E85" s="84">
        <v>1948</v>
      </c>
      <c r="F85" s="85">
        <v>1011</v>
      </c>
    </row>
    <row r="86" spans="2:6" x14ac:dyDescent="0.3">
      <c r="B86" s="87" t="s">
        <v>288</v>
      </c>
      <c r="C86" s="87" t="s">
        <v>348</v>
      </c>
      <c r="D86" s="84">
        <v>560</v>
      </c>
      <c r="E86" s="84">
        <v>1835</v>
      </c>
      <c r="F86" s="85">
        <v>642</v>
      </c>
    </row>
    <row r="87" spans="2:6" x14ac:dyDescent="0.3">
      <c r="B87" s="87" t="s">
        <v>288</v>
      </c>
      <c r="C87" s="87" t="s">
        <v>349</v>
      </c>
      <c r="D87" s="84">
        <v>836</v>
      </c>
      <c r="E87" s="84">
        <v>2245</v>
      </c>
      <c r="F87" s="85">
        <v>861</v>
      </c>
    </row>
    <row r="88" spans="2:6" x14ac:dyDescent="0.3">
      <c r="B88" s="87" t="s">
        <v>288</v>
      </c>
      <c r="C88" s="87" t="s">
        <v>350</v>
      </c>
      <c r="D88" s="84">
        <v>587</v>
      </c>
      <c r="E88" s="84">
        <v>1471</v>
      </c>
      <c r="F88" s="85">
        <v>623</v>
      </c>
    </row>
    <row r="89" spans="2:6" x14ac:dyDescent="0.3">
      <c r="B89" s="87" t="s">
        <v>288</v>
      </c>
      <c r="C89" s="87" t="s">
        <v>351</v>
      </c>
      <c r="D89" s="84">
        <v>774</v>
      </c>
      <c r="E89" s="84">
        <v>1403</v>
      </c>
      <c r="F89" s="85">
        <v>1085</v>
      </c>
    </row>
    <row r="90" spans="2:6" x14ac:dyDescent="0.3">
      <c r="B90" s="87" t="s">
        <v>288</v>
      </c>
      <c r="C90" s="87" t="s">
        <v>352</v>
      </c>
      <c r="D90" s="84">
        <v>757</v>
      </c>
      <c r="E90" s="84">
        <v>1203</v>
      </c>
      <c r="F90" s="85">
        <v>1175</v>
      </c>
    </row>
    <row r="91" spans="2:6" x14ac:dyDescent="0.3">
      <c r="B91" s="87" t="s">
        <v>288</v>
      </c>
      <c r="C91" s="87" t="s">
        <v>353</v>
      </c>
      <c r="D91" s="84">
        <v>591</v>
      </c>
      <c r="E91" s="84">
        <v>1439</v>
      </c>
      <c r="F91" s="85">
        <v>858</v>
      </c>
    </row>
    <row r="92" spans="2:6" x14ac:dyDescent="0.3">
      <c r="B92" s="87" t="s">
        <v>288</v>
      </c>
      <c r="C92" s="87" t="s">
        <v>354</v>
      </c>
      <c r="D92" s="84">
        <v>457</v>
      </c>
      <c r="E92" s="84">
        <v>1161</v>
      </c>
      <c r="F92" s="85">
        <v>594</v>
      </c>
    </row>
    <row r="93" spans="2:6" x14ac:dyDescent="0.3">
      <c r="B93" s="87" t="s">
        <v>288</v>
      </c>
      <c r="C93" s="87" t="s">
        <v>355</v>
      </c>
      <c r="D93" s="84">
        <v>494</v>
      </c>
      <c r="E93" s="84">
        <v>1585</v>
      </c>
      <c r="F93" s="85">
        <v>705</v>
      </c>
    </row>
    <row r="94" spans="2:6" x14ac:dyDescent="0.3">
      <c r="B94" s="87" t="s">
        <v>288</v>
      </c>
      <c r="C94" s="87" t="s">
        <v>356</v>
      </c>
      <c r="D94" s="84">
        <v>914</v>
      </c>
      <c r="E94" s="84">
        <v>1727</v>
      </c>
      <c r="F94" s="85">
        <v>1308</v>
      </c>
    </row>
    <row r="95" spans="2:6" x14ac:dyDescent="0.3">
      <c r="B95" s="87" t="s">
        <v>288</v>
      </c>
      <c r="C95" s="87" t="s">
        <v>357</v>
      </c>
      <c r="D95" s="84">
        <v>581</v>
      </c>
      <c r="E95" s="84">
        <v>1448</v>
      </c>
      <c r="F95" s="85">
        <v>885</v>
      </c>
    </row>
    <row r="96" spans="2:6" x14ac:dyDescent="0.3">
      <c r="B96" s="87" t="s">
        <v>288</v>
      </c>
      <c r="C96" s="87" t="s">
        <v>358</v>
      </c>
      <c r="D96" s="84">
        <v>31</v>
      </c>
      <c r="E96" s="84">
        <v>0</v>
      </c>
      <c r="F96" s="85">
        <v>78</v>
      </c>
    </row>
    <row r="97" spans="2:6" x14ac:dyDescent="0.3">
      <c r="B97" s="87" t="s">
        <v>288</v>
      </c>
      <c r="C97" s="87" t="s">
        <v>359</v>
      </c>
      <c r="D97" s="84">
        <v>92</v>
      </c>
      <c r="E97" s="84">
        <v>233</v>
      </c>
      <c r="F97" s="85">
        <v>494</v>
      </c>
    </row>
    <row r="98" spans="2:6" x14ac:dyDescent="0.3">
      <c r="B98" s="87" t="s">
        <v>288</v>
      </c>
      <c r="C98" s="87" t="s">
        <v>360</v>
      </c>
      <c r="D98" s="84">
        <v>486</v>
      </c>
      <c r="E98" s="84">
        <v>1176</v>
      </c>
      <c r="F98" s="85">
        <v>400</v>
      </c>
    </row>
    <row r="99" spans="2:6" x14ac:dyDescent="0.3">
      <c r="B99" s="87" t="s">
        <v>288</v>
      </c>
      <c r="C99" s="87" t="s">
        <v>361</v>
      </c>
      <c r="D99" s="84">
        <v>440</v>
      </c>
      <c r="E99" s="84">
        <v>874</v>
      </c>
      <c r="F99" s="85">
        <v>803</v>
      </c>
    </row>
    <row r="100" spans="2:6" x14ac:dyDescent="0.3">
      <c r="B100" s="87" t="s">
        <v>288</v>
      </c>
      <c r="C100" s="87" t="s">
        <v>362</v>
      </c>
      <c r="D100" s="84">
        <v>127</v>
      </c>
      <c r="E100" s="84">
        <v>695</v>
      </c>
      <c r="F100" s="85">
        <v>440</v>
      </c>
    </row>
    <row r="101" spans="2:6" x14ac:dyDescent="0.3">
      <c r="B101" s="87" t="s">
        <v>288</v>
      </c>
      <c r="C101" s="87" t="s">
        <v>363</v>
      </c>
      <c r="D101" s="84">
        <v>257</v>
      </c>
      <c r="E101" s="84">
        <v>1367</v>
      </c>
      <c r="F101" s="85">
        <v>544</v>
      </c>
    </row>
    <row r="102" spans="2:6" x14ac:dyDescent="0.3">
      <c r="B102" s="87" t="s">
        <v>288</v>
      </c>
      <c r="C102" s="87" t="s">
        <v>364</v>
      </c>
      <c r="D102" s="84">
        <v>399</v>
      </c>
      <c r="E102" s="84">
        <v>1238</v>
      </c>
      <c r="F102" s="85">
        <v>622</v>
      </c>
    </row>
    <row r="103" spans="2:6" x14ac:dyDescent="0.3">
      <c r="B103" s="87" t="s">
        <v>288</v>
      </c>
      <c r="C103" s="87" t="s">
        <v>365</v>
      </c>
      <c r="D103" s="84">
        <v>470</v>
      </c>
      <c r="E103" s="84">
        <v>1609</v>
      </c>
      <c r="F103" s="85">
        <v>662</v>
      </c>
    </row>
    <row r="104" spans="2:6" x14ac:dyDescent="0.3">
      <c r="B104" s="87" t="s">
        <v>288</v>
      </c>
      <c r="C104" s="87" t="s">
        <v>366</v>
      </c>
      <c r="D104" s="84">
        <v>651</v>
      </c>
      <c r="E104" s="84">
        <v>2120</v>
      </c>
      <c r="F104" s="85">
        <v>824</v>
      </c>
    </row>
    <row r="105" spans="2:6" x14ac:dyDescent="0.3">
      <c r="B105" s="87" t="s">
        <v>288</v>
      </c>
      <c r="C105" s="87" t="s">
        <v>367</v>
      </c>
      <c r="D105" s="84">
        <v>757</v>
      </c>
      <c r="E105" s="84">
        <v>2498</v>
      </c>
      <c r="F105" s="85">
        <v>846</v>
      </c>
    </row>
    <row r="106" spans="2:6" x14ac:dyDescent="0.3">
      <c r="B106" s="87" t="s">
        <v>288</v>
      </c>
      <c r="C106" s="87" t="s">
        <v>368</v>
      </c>
      <c r="D106" s="84">
        <v>526</v>
      </c>
      <c r="E106" s="84">
        <v>1902</v>
      </c>
      <c r="F106" s="85">
        <v>743</v>
      </c>
    </row>
    <row r="107" spans="2:6" x14ac:dyDescent="0.3">
      <c r="B107" s="87" t="s">
        <v>288</v>
      </c>
      <c r="C107" s="87" t="s">
        <v>369</v>
      </c>
      <c r="D107" s="84">
        <v>196</v>
      </c>
      <c r="E107" s="84">
        <v>994</v>
      </c>
      <c r="F107" s="85">
        <v>477</v>
      </c>
    </row>
    <row r="108" spans="2:6" x14ac:dyDescent="0.3">
      <c r="B108" s="87" t="s">
        <v>288</v>
      </c>
      <c r="C108" s="87" t="s">
        <v>370</v>
      </c>
      <c r="D108" s="84">
        <v>260</v>
      </c>
      <c r="E108" s="84">
        <v>1010</v>
      </c>
      <c r="F108" s="85">
        <v>575</v>
      </c>
    </row>
    <row r="109" spans="2:6" x14ac:dyDescent="0.3">
      <c r="B109" s="87" t="s">
        <v>288</v>
      </c>
      <c r="C109" s="87" t="s">
        <v>371</v>
      </c>
      <c r="D109" s="84">
        <v>192</v>
      </c>
      <c r="E109" s="84">
        <v>899</v>
      </c>
      <c r="F109" s="85">
        <v>369</v>
      </c>
    </row>
    <row r="110" spans="2:6" x14ac:dyDescent="0.3">
      <c r="B110" s="87" t="s">
        <v>288</v>
      </c>
      <c r="C110" s="87" t="s">
        <v>372</v>
      </c>
      <c r="D110" s="84">
        <v>177</v>
      </c>
      <c r="E110" s="84">
        <v>284</v>
      </c>
      <c r="F110" s="85">
        <v>174</v>
      </c>
    </row>
    <row r="111" spans="2:6" x14ac:dyDescent="0.3">
      <c r="B111" s="87" t="s">
        <v>288</v>
      </c>
      <c r="C111" s="87" t="s">
        <v>373</v>
      </c>
      <c r="D111" s="84">
        <v>741</v>
      </c>
      <c r="E111" s="84">
        <v>1781</v>
      </c>
      <c r="F111" s="85">
        <v>1028</v>
      </c>
    </row>
    <row r="112" spans="2:6" x14ac:dyDescent="0.3">
      <c r="B112" s="87" t="s">
        <v>288</v>
      </c>
      <c r="C112" s="87" t="s">
        <v>374</v>
      </c>
      <c r="D112" s="84">
        <v>174</v>
      </c>
      <c r="E112" s="84">
        <v>773</v>
      </c>
      <c r="F112" s="85">
        <v>237</v>
      </c>
    </row>
    <row r="113" spans="2:6" x14ac:dyDescent="0.3">
      <c r="B113" s="87" t="s">
        <v>288</v>
      </c>
      <c r="C113" s="87" t="s">
        <v>375</v>
      </c>
      <c r="D113" s="84">
        <v>94</v>
      </c>
      <c r="E113" s="84">
        <v>769</v>
      </c>
      <c r="F113" s="85">
        <v>228</v>
      </c>
    </row>
    <row r="114" spans="2:6" x14ac:dyDescent="0.3">
      <c r="B114" s="87" t="s">
        <v>288</v>
      </c>
      <c r="C114" s="87" t="s">
        <v>376</v>
      </c>
      <c r="D114" s="84">
        <v>197</v>
      </c>
      <c r="E114" s="84">
        <v>837</v>
      </c>
      <c r="F114" s="85">
        <v>434</v>
      </c>
    </row>
    <row r="115" spans="2:6" x14ac:dyDescent="0.3">
      <c r="B115" s="87" t="s">
        <v>288</v>
      </c>
      <c r="C115" s="87" t="s">
        <v>377</v>
      </c>
      <c r="D115" s="84">
        <v>318</v>
      </c>
      <c r="E115" s="84">
        <v>1120</v>
      </c>
      <c r="F115" s="85">
        <v>444</v>
      </c>
    </row>
    <row r="116" spans="2:6" x14ac:dyDescent="0.3">
      <c r="B116" s="87" t="s">
        <v>288</v>
      </c>
      <c r="C116" s="87" t="s">
        <v>378</v>
      </c>
      <c r="D116" s="84">
        <v>82</v>
      </c>
      <c r="E116" s="84">
        <v>723</v>
      </c>
      <c r="F116" s="85">
        <v>204</v>
      </c>
    </row>
    <row r="117" spans="2:6" x14ac:dyDescent="0.3">
      <c r="B117" s="87" t="s">
        <v>288</v>
      </c>
      <c r="C117" s="87" t="s">
        <v>379</v>
      </c>
      <c r="D117" s="84">
        <v>206</v>
      </c>
      <c r="E117" s="84">
        <v>550</v>
      </c>
      <c r="F117" s="85">
        <v>229</v>
      </c>
    </row>
    <row r="118" spans="2:6" x14ac:dyDescent="0.3">
      <c r="B118" s="87" t="s">
        <v>288</v>
      </c>
      <c r="C118" s="87" t="s">
        <v>380</v>
      </c>
      <c r="D118" s="84">
        <v>390</v>
      </c>
      <c r="E118" s="84">
        <v>1297</v>
      </c>
      <c r="F118" s="85">
        <v>456</v>
      </c>
    </row>
    <row r="119" spans="2:6" x14ac:dyDescent="0.3">
      <c r="B119" s="87" t="s">
        <v>288</v>
      </c>
      <c r="C119" s="87" t="s">
        <v>381</v>
      </c>
      <c r="D119" s="84">
        <v>111</v>
      </c>
      <c r="E119" s="84">
        <v>1160</v>
      </c>
      <c r="F119" s="85">
        <v>282</v>
      </c>
    </row>
    <row r="120" spans="2:6" x14ac:dyDescent="0.3">
      <c r="B120" s="87" t="s">
        <v>288</v>
      </c>
      <c r="C120" s="87" t="s">
        <v>382</v>
      </c>
      <c r="D120" s="84">
        <v>522</v>
      </c>
      <c r="E120" s="84">
        <v>1667</v>
      </c>
      <c r="F120" s="85">
        <v>556</v>
      </c>
    </row>
    <row r="121" spans="2:6" x14ac:dyDescent="0.3">
      <c r="B121" s="87" t="s">
        <v>288</v>
      </c>
      <c r="C121" s="87" t="s">
        <v>383</v>
      </c>
      <c r="D121" s="84">
        <v>278</v>
      </c>
      <c r="E121" s="84">
        <v>1091</v>
      </c>
      <c r="F121" s="85">
        <v>505</v>
      </c>
    </row>
    <row r="122" spans="2:6" x14ac:dyDescent="0.3">
      <c r="B122" s="87" t="s">
        <v>288</v>
      </c>
      <c r="C122" s="87" t="s">
        <v>384</v>
      </c>
      <c r="D122" s="84">
        <v>0</v>
      </c>
      <c r="E122" s="84">
        <v>0</v>
      </c>
      <c r="F122" s="85">
        <v>0</v>
      </c>
    </row>
    <row r="123" spans="2:6" x14ac:dyDescent="0.3">
      <c r="B123" s="87" t="s">
        <v>288</v>
      </c>
      <c r="C123" s="87" t="s">
        <v>385</v>
      </c>
      <c r="D123" s="84">
        <v>120</v>
      </c>
      <c r="E123" s="84">
        <v>1335</v>
      </c>
      <c r="F123" s="85">
        <v>289</v>
      </c>
    </row>
    <row r="124" spans="2:6" x14ac:dyDescent="0.3">
      <c r="B124" s="87" t="s">
        <v>288</v>
      </c>
      <c r="C124" s="87" t="s">
        <v>386</v>
      </c>
      <c r="D124" s="84">
        <v>316</v>
      </c>
      <c r="E124" s="84">
        <v>1028</v>
      </c>
      <c r="F124" s="85">
        <v>505</v>
      </c>
    </row>
    <row r="125" spans="2:6" x14ac:dyDescent="0.3">
      <c r="B125" s="87" t="s">
        <v>288</v>
      </c>
      <c r="C125" s="87" t="s">
        <v>387</v>
      </c>
      <c r="D125" s="84">
        <v>446</v>
      </c>
      <c r="E125" s="84">
        <v>1763</v>
      </c>
      <c r="F125" s="85">
        <v>527</v>
      </c>
    </row>
    <row r="126" spans="2:6" x14ac:dyDescent="0.3">
      <c r="B126" s="87" t="s">
        <v>288</v>
      </c>
      <c r="C126" s="87" t="s">
        <v>388</v>
      </c>
      <c r="D126" s="84">
        <v>0</v>
      </c>
      <c r="E126" s="84">
        <v>0</v>
      </c>
      <c r="F126" s="85">
        <v>0</v>
      </c>
    </row>
    <row r="127" spans="2:6" x14ac:dyDescent="0.3">
      <c r="B127" s="87" t="s">
        <v>288</v>
      </c>
      <c r="C127" s="87" t="s">
        <v>389</v>
      </c>
      <c r="D127" s="84">
        <v>254</v>
      </c>
      <c r="E127" s="84">
        <v>642</v>
      </c>
      <c r="F127" s="85">
        <v>308</v>
      </c>
    </row>
    <row r="128" spans="2:6" x14ac:dyDescent="0.3">
      <c r="B128" s="87" t="s">
        <v>288</v>
      </c>
      <c r="C128" s="87" t="s">
        <v>390</v>
      </c>
      <c r="D128" s="84">
        <v>157</v>
      </c>
      <c r="E128" s="84">
        <v>440</v>
      </c>
      <c r="F128" s="85">
        <v>436</v>
      </c>
    </row>
    <row r="129" spans="2:6" x14ac:dyDescent="0.3">
      <c r="B129" s="87" t="s">
        <v>288</v>
      </c>
      <c r="C129" s="87" t="s">
        <v>391</v>
      </c>
      <c r="D129" s="84">
        <v>788</v>
      </c>
      <c r="E129" s="84">
        <v>988</v>
      </c>
      <c r="F129" s="85">
        <v>673</v>
      </c>
    </row>
    <row r="130" spans="2:6" x14ac:dyDescent="0.3">
      <c r="B130" s="87" t="s">
        <v>288</v>
      </c>
      <c r="C130" s="87" t="s">
        <v>392</v>
      </c>
      <c r="D130" s="84">
        <v>398</v>
      </c>
      <c r="E130" s="84">
        <v>454</v>
      </c>
      <c r="F130" s="85">
        <v>333</v>
      </c>
    </row>
    <row r="131" spans="2:6" x14ac:dyDescent="0.3">
      <c r="B131" s="87" t="s">
        <v>288</v>
      </c>
      <c r="C131" s="87" t="s">
        <v>393</v>
      </c>
      <c r="D131" s="84">
        <v>796</v>
      </c>
      <c r="E131" s="84">
        <v>912</v>
      </c>
      <c r="F131" s="85">
        <v>687</v>
      </c>
    </row>
    <row r="132" spans="2:6" x14ac:dyDescent="0.3">
      <c r="B132" s="87" t="s">
        <v>288</v>
      </c>
      <c r="C132" s="87" t="s">
        <v>394</v>
      </c>
      <c r="D132" s="84">
        <v>633</v>
      </c>
      <c r="E132" s="84">
        <v>1349</v>
      </c>
      <c r="F132" s="85">
        <v>564</v>
      </c>
    </row>
    <row r="133" spans="2:6" x14ac:dyDescent="0.3">
      <c r="B133" s="87" t="s">
        <v>288</v>
      </c>
      <c r="C133" s="87" t="s">
        <v>395</v>
      </c>
      <c r="D133" s="84">
        <v>1018</v>
      </c>
      <c r="E133" s="84">
        <v>1622</v>
      </c>
      <c r="F133" s="85">
        <v>826</v>
      </c>
    </row>
    <row r="134" spans="2:6" x14ac:dyDescent="0.3">
      <c r="B134" s="87" t="s">
        <v>288</v>
      </c>
      <c r="C134" s="87" t="s">
        <v>396</v>
      </c>
      <c r="D134" s="84">
        <v>356</v>
      </c>
      <c r="E134" s="84">
        <v>429</v>
      </c>
      <c r="F134" s="85">
        <v>621</v>
      </c>
    </row>
    <row r="135" spans="2:6" x14ac:dyDescent="0.3">
      <c r="B135" s="87" t="s">
        <v>288</v>
      </c>
      <c r="C135" s="87" t="s">
        <v>397</v>
      </c>
      <c r="D135" s="84">
        <v>1173</v>
      </c>
      <c r="E135" s="84">
        <v>1342</v>
      </c>
      <c r="F135" s="85">
        <v>605</v>
      </c>
    </row>
    <row r="136" spans="2:6" x14ac:dyDescent="0.3">
      <c r="B136" s="87" t="s">
        <v>288</v>
      </c>
      <c r="C136" s="87" t="s">
        <v>398</v>
      </c>
      <c r="D136" s="84">
        <v>729</v>
      </c>
      <c r="E136" s="84">
        <v>1085</v>
      </c>
      <c r="F136" s="85">
        <v>838</v>
      </c>
    </row>
    <row r="137" spans="2:6" x14ac:dyDescent="0.3">
      <c r="B137" s="87" t="s">
        <v>288</v>
      </c>
      <c r="C137" s="87" t="s">
        <v>399</v>
      </c>
      <c r="D137" s="84">
        <v>935</v>
      </c>
      <c r="E137" s="84">
        <v>1436</v>
      </c>
      <c r="F137" s="85">
        <v>1237</v>
      </c>
    </row>
    <row r="138" spans="2:6" x14ac:dyDescent="0.3">
      <c r="B138" s="87" t="s">
        <v>288</v>
      </c>
      <c r="C138" s="87" t="s">
        <v>400</v>
      </c>
      <c r="D138" s="84">
        <v>930</v>
      </c>
      <c r="E138" s="84">
        <v>1328</v>
      </c>
      <c r="F138" s="85">
        <v>1024</v>
      </c>
    </row>
    <row r="139" spans="2:6" x14ac:dyDescent="0.3">
      <c r="B139" s="87" t="s">
        <v>288</v>
      </c>
      <c r="C139" s="87" t="s">
        <v>401</v>
      </c>
      <c r="D139" s="84">
        <v>1207</v>
      </c>
      <c r="E139" s="84">
        <v>1863</v>
      </c>
      <c r="F139" s="85">
        <v>1375</v>
      </c>
    </row>
    <row r="140" spans="2:6" x14ac:dyDescent="0.3">
      <c r="B140" s="87" t="s">
        <v>288</v>
      </c>
      <c r="C140" s="87" t="s">
        <v>402</v>
      </c>
      <c r="D140" s="84">
        <v>1089</v>
      </c>
      <c r="E140" s="84">
        <v>1554</v>
      </c>
      <c r="F140" s="85">
        <v>945</v>
      </c>
    </row>
    <row r="141" spans="2:6" x14ac:dyDescent="0.3">
      <c r="B141" s="87" t="s">
        <v>288</v>
      </c>
      <c r="C141" s="87" t="s">
        <v>403</v>
      </c>
      <c r="D141" s="84">
        <v>1179</v>
      </c>
      <c r="E141" s="84">
        <v>1541</v>
      </c>
      <c r="F141" s="85">
        <v>1136</v>
      </c>
    </row>
    <row r="142" spans="2:6" x14ac:dyDescent="0.3">
      <c r="B142" s="87" t="s">
        <v>288</v>
      </c>
      <c r="C142" s="87" t="s">
        <v>404</v>
      </c>
      <c r="D142" s="84">
        <v>646</v>
      </c>
      <c r="E142" s="84">
        <v>1144</v>
      </c>
      <c r="F142" s="85">
        <v>1027</v>
      </c>
    </row>
    <row r="143" spans="2:6" x14ac:dyDescent="0.3">
      <c r="B143" s="87" t="s">
        <v>288</v>
      </c>
      <c r="C143" s="87" t="s">
        <v>405</v>
      </c>
      <c r="D143" s="84">
        <v>689</v>
      </c>
      <c r="E143" s="84">
        <v>1352</v>
      </c>
      <c r="F143" s="85">
        <v>777</v>
      </c>
    </row>
    <row r="144" spans="2:6" x14ac:dyDescent="0.3">
      <c r="B144" s="87" t="s">
        <v>288</v>
      </c>
      <c r="C144" s="87" t="s">
        <v>406</v>
      </c>
      <c r="D144" s="84">
        <v>92</v>
      </c>
      <c r="E144" s="84">
        <v>1393</v>
      </c>
      <c r="F144" s="85">
        <v>295</v>
      </c>
    </row>
    <row r="145" spans="2:6" x14ac:dyDescent="0.3">
      <c r="B145" s="87" t="s">
        <v>288</v>
      </c>
      <c r="C145" s="87" t="s">
        <v>407</v>
      </c>
      <c r="D145" s="84">
        <v>361</v>
      </c>
      <c r="E145" s="84">
        <v>4109</v>
      </c>
      <c r="F145" s="85">
        <v>761</v>
      </c>
    </row>
    <row r="146" spans="2:6" x14ac:dyDescent="0.3">
      <c r="B146" s="87" t="s">
        <v>288</v>
      </c>
      <c r="C146" s="87" t="s">
        <v>408</v>
      </c>
      <c r="D146" s="84">
        <v>148</v>
      </c>
      <c r="E146" s="84">
        <v>1510</v>
      </c>
      <c r="F146" s="85">
        <v>300</v>
      </c>
    </row>
    <row r="147" spans="2:6" x14ac:dyDescent="0.3">
      <c r="B147" s="87" t="s">
        <v>288</v>
      </c>
      <c r="C147" s="87" t="s">
        <v>409</v>
      </c>
      <c r="D147" s="84">
        <v>367</v>
      </c>
      <c r="E147" s="84">
        <v>1942</v>
      </c>
      <c r="F147" s="85">
        <v>817</v>
      </c>
    </row>
    <row r="148" spans="2:6" x14ac:dyDescent="0.3">
      <c r="B148" s="87" t="s">
        <v>288</v>
      </c>
      <c r="C148" s="87" t="s">
        <v>410</v>
      </c>
      <c r="D148" s="84">
        <v>96</v>
      </c>
      <c r="E148" s="84">
        <v>249</v>
      </c>
      <c r="F148" s="85">
        <v>191</v>
      </c>
    </row>
    <row r="149" spans="2:6" x14ac:dyDescent="0.3">
      <c r="B149" s="87" t="s">
        <v>288</v>
      </c>
      <c r="C149" s="87" t="s">
        <v>411</v>
      </c>
      <c r="D149" s="84">
        <v>104</v>
      </c>
      <c r="E149" s="84">
        <v>281</v>
      </c>
      <c r="F149" s="85">
        <v>241</v>
      </c>
    </row>
    <row r="150" spans="2:6" x14ac:dyDescent="0.3">
      <c r="B150" s="87" t="s">
        <v>288</v>
      </c>
      <c r="C150" s="87" t="s">
        <v>412</v>
      </c>
      <c r="D150" s="84">
        <v>152</v>
      </c>
      <c r="E150" s="84">
        <v>225</v>
      </c>
      <c r="F150" s="85">
        <v>215</v>
      </c>
    </row>
    <row r="151" spans="2:6" x14ac:dyDescent="0.3">
      <c r="B151" s="87" t="s">
        <v>288</v>
      </c>
      <c r="C151" s="87" t="s">
        <v>413</v>
      </c>
      <c r="D151" s="84">
        <v>661</v>
      </c>
      <c r="E151" s="84">
        <v>1509</v>
      </c>
      <c r="F151" s="85">
        <v>818</v>
      </c>
    </row>
    <row r="152" spans="2:6" x14ac:dyDescent="0.3">
      <c r="B152" s="87" t="s">
        <v>288</v>
      </c>
      <c r="C152" s="87" t="s">
        <v>414</v>
      </c>
      <c r="D152" s="84">
        <v>417</v>
      </c>
      <c r="E152" s="84">
        <v>591</v>
      </c>
      <c r="F152" s="85">
        <v>414</v>
      </c>
    </row>
    <row r="153" spans="2:6" x14ac:dyDescent="0.3">
      <c r="B153" s="87" t="s">
        <v>288</v>
      </c>
      <c r="C153" s="87" t="s">
        <v>415</v>
      </c>
      <c r="D153" s="84">
        <v>588</v>
      </c>
      <c r="E153" s="84">
        <v>1036</v>
      </c>
      <c r="F153" s="85">
        <v>725</v>
      </c>
    </row>
    <row r="154" spans="2:6" x14ac:dyDescent="0.3">
      <c r="B154" s="87" t="s">
        <v>288</v>
      </c>
      <c r="C154" s="87" t="s">
        <v>416</v>
      </c>
      <c r="D154" s="84">
        <v>99</v>
      </c>
      <c r="E154" s="84">
        <v>566</v>
      </c>
      <c r="F154" s="85">
        <v>200</v>
      </c>
    </row>
    <row r="155" spans="2:6" x14ac:dyDescent="0.3">
      <c r="B155" s="87" t="s">
        <v>288</v>
      </c>
      <c r="C155" s="87" t="s">
        <v>417</v>
      </c>
      <c r="D155" s="84">
        <v>1113</v>
      </c>
      <c r="E155" s="84">
        <v>1539</v>
      </c>
      <c r="F155" s="85">
        <v>1209</v>
      </c>
    </row>
    <row r="156" spans="2:6" x14ac:dyDescent="0.3">
      <c r="B156" s="87" t="s">
        <v>288</v>
      </c>
      <c r="C156" s="87" t="s">
        <v>418</v>
      </c>
      <c r="D156" s="84">
        <v>1462</v>
      </c>
      <c r="E156" s="84">
        <v>1993</v>
      </c>
      <c r="F156" s="85">
        <v>1444</v>
      </c>
    </row>
    <row r="157" spans="2:6" x14ac:dyDescent="0.3">
      <c r="B157" s="87" t="s">
        <v>288</v>
      </c>
      <c r="C157" s="87" t="s">
        <v>419</v>
      </c>
      <c r="D157" s="84">
        <v>1094</v>
      </c>
      <c r="E157" s="84">
        <v>1924</v>
      </c>
      <c r="F157" s="85">
        <v>1466</v>
      </c>
    </row>
    <row r="158" spans="2:6" x14ac:dyDescent="0.3">
      <c r="B158" s="87" t="s">
        <v>288</v>
      </c>
      <c r="C158" s="87" t="s">
        <v>420</v>
      </c>
      <c r="D158" s="84">
        <v>924</v>
      </c>
      <c r="E158" s="84">
        <v>1799</v>
      </c>
      <c r="F158" s="85">
        <v>1269</v>
      </c>
    </row>
    <row r="159" spans="2:6" x14ac:dyDescent="0.3">
      <c r="B159" s="87" t="s">
        <v>288</v>
      </c>
      <c r="C159" s="87" t="s">
        <v>421</v>
      </c>
      <c r="D159" s="84">
        <v>0</v>
      </c>
      <c r="E159" s="84">
        <v>0</v>
      </c>
      <c r="F159" s="85">
        <v>0</v>
      </c>
    </row>
    <row r="160" spans="2:6" x14ac:dyDescent="0.3">
      <c r="B160" s="87" t="s">
        <v>288</v>
      </c>
      <c r="C160" s="87" t="s">
        <v>422</v>
      </c>
      <c r="D160" s="84">
        <v>296</v>
      </c>
      <c r="E160" s="84">
        <v>443</v>
      </c>
      <c r="F160" s="85">
        <v>157</v>
      </c>
    </row>
    <row r="161" spans="2:6" x14ac:dyDescent="0.3">
      <c r="B161" s="87" t="s">
        <v>288</v>
      </c>
      <c r="C161" s="87" t="s">
        <v>423</v>
      </c>
      <c r="D161" s="84">
        <v>858</v>
      </c>
      <c r="E161" s="84">
        <v>1562</v>
      </c>
      <c r="F161" s="85">
        <v>832</v>
      </c>
    </row>
    <row r="162" spans="2:6" x14ac:dyDescent="0.3">
      <c r="B162" s="87" t="s">
        <v>288</v>
      </c>
      <c r="C162" s="87" t="s">
        <v>424</v>
      </c>
      <c r="D162" s="84">
        <v>487</v>
      </c>
      <c r="E162" s="84">
        <v>821</v>
      </c>
      <c r="F162" s="85">
        <v>556</v>
      </c>
    </row>
    <row r="163" spans="2:6" x14ac:dyDescent="0.3">
      <c r="B163" s="87" t="s">
        <v>288</v>
      </c>
      <c r="C163" s="87" t="s">
        <v>425</v>
      </c>
      <c r="D163" s="84">
        <v>985</v>
      </c>
      <c r="E163" s="84">
        <v>2100</v>
      </c>
      <c r="F163" s="85">
        <v>1402</v>
      </c>
    </row>
    <row r="164" spans="2:6" x14ac:dyDescent="0.3">
      <c r="B164" s="87" t="s">
        <v>288</v>
      </c>
      <c r="C164" s="87" t="s">
        <v>426</v>
      </c>
      <c r="D164" s="84">
        <v>430</v>
      </c>
      <c r="E164" s="84">
        <v>976</v>
      </c>
      <c r="F164" s="85">
        <v>616</v>
      </c>
    </row>
    <row r="165" spans="2:6" x14ac:dyDescent="0.3">
      <c r="B165" s="87" t="s">
        <v>288</v>
      </c>
      <c r="C165" s="87" t="s">
        <v>427</v>
      </c>
      <c r="D165" s="84">
        <v>11</v>
      </c>
      <c r="E165" s="84">
        <v>4</v>
      </c>
      <c r="F165" s="85">
        <v>351</v>
      </c>
    </row>
    <row r="166" spans="2:6" x14ac:dyDescent="0.3">
      <c r="B166" s="87" t="s">
        <v>288</v>
      </c>
      <c r="C166" s="87" t="s">
        <v>428</v>
      </c>
      <c r="D166" s="84">
        <v>370</v>
      </c>
      <c r="E166" s="84">
        <v>480</v>
      </c>
      <c r="F166" s="85">
        <v>398</v>
      </c>
    </row>
    <row r="167" spans="2:6" x14ac:dyDescent="0.3">
      <c r="B167" s="87" t="s">
        <v>288</v>
      </c>
      <c r="C167" s="87" t="s">
        <v>429</v>
      </c>
      <c r="D167" s="84">
        <v>778</v>
      </c>
      <c r="E167" s="84">
        <v>1343</v>
      </c>
      <c r="F167" s="85">
        <v>1071</v>
      </c>
    </row>
    <row r="168" spans="2:6" x14ac:dyDescent="0.3">
      <c r="B168" s="87" t="s">
        <v>288</v>
      </c>
      <c r="C168" s="87" t="s">
        <v>430</v>
      </c>
      <c r="D168" s="84">
        <v>783</v>
      </c>
      <c r="E168" s="84">
        <v>1429</v>
      </c>
      <c r="F168" s="85">
        <v>1018</v>
      </c>
    </row>
    <row r="169" spans="2:6" x14ac:dyDescent="0.3">
      <c r="B169" s="87" t="s">
        <v>288</v>
      </c>
      <c r="C169" s="87" t="s">
        <v>431</v>
      </c>
      <c r="D169" s="84">
        <v>1376</v>
      </c>
      <c r="E169" s="84">
        <v>2314</v>
      </c>
      <c r="F169" s="85">
        <v>1440</v>
      </c>
    </row>
    <row r="170" spans="2:6" x14ac:dyDescent="0.3">
      <c r="B170" s="87" t="s">
        <v>288</v>
      </c>
      <c r="C170" s="87" t="s">
        <v>432</v>
      </c>
      <c r="D170" s="84">
        <v>717</v>
      </c>
      <c r="E170" s="84">
        <v>1732</v>
      </c>
      <c r="F170" s="85">
        <v>1623</v>
      </c>
    </row>
    <row r="171" spans="2:6" x14ac:dyDescent="0.3">
      <c r="B171" s="87" t="s">
        <v>288</v>
      </c>
      <c r="C171" s="87" t="s">
        <v>433</v>
      </c>
      <c r="D171" s="84">
        <v>301</v>
      </c>
      <c r="E171" s="84">
        <v>720</v>
      </c>
      <c r="F171" s="85">
        <v>629</v>
      </c>
    </row>
    <row r="172" spans="2:6" x14ac:dyDescent="0.3">
      <c r="B172" s="87" t="s">
        <v>288</v>
      </c>
      <c r="C172" s="87" t="s">
        <v>434</v>
      </c>
      <c r="D172" s="84">
        <v>179</v>
      </c>
      <c r="E172" s="84">
        <v>303</v>
      </c>
      <c r="F172" s="85">
        <v>258</v>
      </c>
    </row>
    <row r="173" spans="2:6" x14ac:dyDescent="0.3">
      <c r="B173" s="87" t="s">
        <v>288</v>
      </c>
      <c r="C173" s="87" t="s">
        <v>435</v>
      </c>
      <c r="D173" s="84">
        <v>919</v>
      </c>
      <c r="E173" s="84">
        <v>1445</v>
      </c>
      <c r="F173" s="85">
        <v>1250</v>
      </c>
    </row>
    <row r="174" spans="2:6" x14ac:dyDescent="0.3">
      <c r="B174" s="87" t="s">
        <v>288</v>
      </c>
      <c r="C174" s="87" t="s">
        <v>436</v>
      </c>
      <c r="D174" s="84">
        <v>396</v>
      </c>
      <c r="E174" s="84">
        <v>704</v>
      </c>
      <c r="F174" s="85">
        <v>712</v>
      </c>
    </row>
    <row r="175" spans="2:6" x14ac:dyDescent="0.3">
      <c r="B175" s="87" t="s">
        <v>288</v>
      </c>
      <c r="C175" s="87" t="s">
        <v>437</v>
      </c>
      <c r="D175" s="84">
        <v>387</v>
      </c>
      <c r="E175" s="84">
        <v>735</v>
      </c>
      <c r="F175" s="85">
        <v>677</v>
      </c>
    </row>
    <row r="176" spans="2:6" x14ac:dyDescent="0.3">
      <c r="B176" s="87" t="s">
        <v>288</v>
      </c>
      <c r="C176" s="87" t="s">
        <v>438</v>
      </c>
      <c r="D176" s="84">
        <v>869</v>
      </c>
      <c r="E176" s="84">
        <v>1267</v>
      </c>
      <c r="F176" s="85">
        <v>801</v>
      </c>
    </row>
    <row r="177" spans="2:6" x14ac:dyDescent="0.3">
      <c r="B177" s="87" t="s">
        <v>288</v>
      </c>
      <c r="C177" s="87" t="s">
        <v>439</v>
      </c>
      <c r="D177" s="84">
        <v>1500</v>
      </c>
      <c r="E177" s="84">
        <v>2104</v>
      </c>
      <c r="F177" s="85">
        <v>1570</v>
      </c>
    </row>
    <row r="178" spans="2:6" x14ac:dyDescent="0.3">
      <c r="B178" s="87" t="s">
        <v>288</v>
      </c>
      <c r="C178" s="87" t="s">
        <v>440</v>
      </c>
      <c r="D178" s="84">
        <v>1064</v>
      </c>
      <c r="E178" s="84">
        <v>1509</v>
      </c>
      <c r="F178" s="85">
        <v>1126</v>
      </c>
    </row>
    <row r="179" spans="2:6" x14ac:dyDescent="0.3">
      <c r="B179" s="87" t="s">
        <v>288</v>
      </c>
      <c r="C179" s="87" t="s">
        <v>441</v>
      </c>
      <c r="D179" s="84">
        <v>1272</v>
      </c>
      <c r="E179" s="84">
        <v>2058</v>
      </c>
      <c r="F179" s="85">
        <v>1702</v>
      </c>
    </row>
    <row r="180" spans="2:6" x14ac:dyDescent="0.3">
      <c r="B180" s="87" t="s">
        <v>288</v>
      </c>
      <c r="C180" s="87" t="s">
        <v>442</v>
      </c>
      <c r="D180" s="84">
        <v>916</v>
      </c>
      <c r="E180" s="84">
        <v>1326</v>
      </c>
      <c r="F180" s="85">
        <v>840</v>
      </c>
    </row>
    <row r="181" spans="2:6" x14ac:dyDescent="0.3">
      <c r="B181" s="87" t="s">
        <v>288</v>
      </c>
      <c r="C181" s="87" t="s">
        <v>443</v>
      </c>
      <c r="D181" s="84">
        <v>877</v>
      </c>
      <c r="E181" s="84">
        <v>1498</v>
      </c>
      <c r="F181" s="85">
        <v>1274</v>
      </c>
    </row>
    <row r="182" spans="2:6" x14ac:dyDescent="0.3">
      <c r="B182" s="87" t="s">
        <v>288</v>
      </c>
      <c r="C182" s="87" t="s">
        <v>444</v>
      </c>
      <c r="D182" s="84">
        <v>716</v>
      </c>
      <c r="E182" s="84">
        <v>1119</v>
      </c>
      <c r="F182" s="85">
        <v>837</v>
      </c>
    </row>
    <row r="183" spans="2:6" x14ac:dyDescent="0.3">
      <c r="B183" s="87" t="s">
        <v>288</v>
      </c>
      <c r="C183" s="87" t="s">
        <v>445</v>
      </c>
      <c r="D183" s="84">
        <v>772</v>
      </c>
      <c r="E183" s="84">
        <v>1410</v>
      </c>
      <c r="F183" s="85">
        <v>1199</v>
      </c>
    </row>
    <row r="184" spans="2:6" x14ac:dyDescent="0.3">
      <c r="B184" s="87" t="s">
        <v>288</v>
      </c>
      <c r="C184" s="87" t="s">
        <v>446</v>
      </c>
      <c r="D184" s="84">
        <v>1190</v>
      </c>
      <c r="E184" s="84">
        <v>1969</v>
      </c>
      <c r="F184" s="85">
        <v>1597</v>
      </c>
    </row>
  </sheetData>
  <mergeCells count="1">
    <mergeCell ref="D25:F25"/>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C8F44-8E24-45B9-AF6F-3DF165328A84}">
  <sheetPr codeName="Sheet19"/>
  <dimension ref="A1:I23"/>
  <sheetViews>
    <sheetView workbookViewId="0">
      <selection activeCell="I17" sqref="I17"/>
    </sheetView>
  </sheetViews>
  <sheetFormatPr defaultRowHeight="14.4" x14ac:dyDescent="0.3"/>
  <cols>
    <col min="1" max="1" width="35.6640625" customWidth="1"/>
    <col min="5" max="5" width="12.21875" customWidth="1"/>
    <col min="6" max="6" width="15.77734375" bestFit="1" customWidth="1"/>
    <col min="8" max="8" width="14.109375" customWidth="1"/>
  </cols>
  <sheetData>
    <row r="1" spans="1:6" ht="28.8" x14ac:dyDescent="0.3">
      <c r="A1" s="10" t="s">
        <v>459</v>
      </c>
    </row>
    <row r="3" spans="1:6" x14ac:dyDescent="0.3">
      <c r="A3" t="s">
        <v>1</v>
      </c>
      <c r="C3" s="92" t="s">
        <v>447</v>
      </c>
      <c r="D3" s="92" t="s">
        <v>448</v>
      </c>
      <c r="E3" s="92" t="s">
        <v>449</v>
      </c>
      <c r="F3" s="92" t="s">
        <v>450</v>
      </c>
    </row>
    <row r="4" spans="1:6" x14ac:dyDescent="0.3">
      <c r="C4" s="93">
        <v>1</v>
      </c>
      <c r="D4" s="94">
        <v>8000</v>
      </c>
      <c r="E4" s="93" t="s">
        <v>451</v>
      </c>
      <c r="F4" s="93">
        <v>10</v>
      </c>
    </row>
    <row r="5" spans="1:6" x14ac:dyDescent="0.3">
      <c r="C5" s="93">
        <v>2</v>
      </c>
      <c r="D5" s="94">
        <v>11000</v>
      </c>
      <c r="E5" s="93" t="s">
        <v>451</v>
      </c>
      <c r="F5" s="93">
        <v>9</v>
      </c>
    </row>
    <row r="6" spans="1:6" x14ac:dyDescent="0.3">
      <c r="C6" s="93">
        <v>3</v>
      </c>
      <c r="D6" s="94">
        <v>6000</v>
      </c>
      <c r="E6" s="93" t="s">
        <v>452</v>
      </c>
      <c r="F6" s="93">
        <v>5</v>
      </c>
    </row>
    <row r="7" spans="1:6" x14ac:dyDescent="0.3">
      <c r="C7" s="93">
        <v>4</v>
      </c>
      <c r="D7" s="94">
        <v>15000</v>
      </c>
      <c r="E7" s="93" t="s">
        <v>451</v>
      </c>
      <c r="F7" s="93">
        <v>10</v>
      </c>
    </row>
    <row r="8" spans="1:6" x14ac:dyDescent="0.3">
      <c r="C8" s="93">
        <v>5</v>
      </c>
      <c r="D8" s="94">
        <v>10000</v>
      </c>
      <c r="E8" s="93" t="s">
        <v>452</v>
      </c>
      <c r="F8" s="93">
        <v>2</v>
      </c>
    </row>
    <row r="9" spans="1:6" x14ac:dyDescent="0.3">
      <c r="C9" s="93">
        <v>6</v>
      </c>
      <c r="D9" s="94">
        <v>15000</v>
      </c>
      <c r="E9" s="93" t="s">
        <v>451</v>
      </c>
      <c r="F9" s="93">
        <v>5</v>
      </c>
    </row>
    <row r="10" spans="1:6" x14ac:dyDescent="0.3">
      <c r="C10" s="93">
        <v>7</v>
      </c>
      <c r="D10" s="94">
        <v>13000</v>
      </c>
      <c r="E10" s="93" t="s">
        <v>451</v>
      </c>
      <c r="F10" s="93">
        <v>999</v>
      </c>
    </row>
    <row r="11" spans="1:6" x14ac:dyDescent="0.3">
      <c r="C11" s="93">
        <v>8</v>
      </c>
      <c r="D11" s="94">
        <v>8000</v>
      </c>
      <c r="E11" s="93" t="s">
        <v>451</v>
      </c>
      <c r="F11" s="93">
        <v>2</v>
      </c>
    </row>
    <row r="12" spans="1:6" x14ac:dyDescent="0.3">
      <c r="C12" s="93">
        <v>9</v>
      </c>
      <c r="D12" s="94">
        <v>11000</v>
      </c>
      <c r="E12" s="93" t="s">
        <v>452</v>
      </c>
      <c r="F12" s="93">
        <v>5</v>
      </c>
    </row>
    <row r="13" spans="1:6" x14ac:dyDescent="0.3">
      <c r="C13" s="93">
        <v>10</v>
      </c>
      <c r="D13" s="94">
        <v>9000</v>
      </c>
      <c r="E13" s="93" t="s">
        <v>451</v>
      </c>
      <c r="F13" s="93">
        <v>6</v>
      </c>
    </row>
    <row r="16" spans="1:6" ht="15" thickBot="1" x14ac:dyDescent="0.35">
      <c r="C16" s="95" t="s">
        <v>453</v>
      </c>
    </row>
    <row r="17" spans="2:9" ht="15" thickBot="1" x14ac:dyDescent="0.35">
      <c r="B17">
        <v>1</v>
      </c>
      <c r="C17" t="s">
        <v>454</v>
      </c>
      <c r="I17" s="96">
        <f>SUMIF(E4:E13,E4,D4:D13)</f>
        <v>79000</v>
      </c>
    </row>
    <row r="18" spans="2:9" ht="15" thickBot="1" x14ac:dyDescent="0.35">
      <c r="B18">
        <v>2</v>
      </c>
      <c r="C18" t="s">
        <v>455</v>
      </c>
      <c r="I18" s="96">
        <f>SUMIF(E4:E13,E6,D4:D13)</f>
        <v>27000</v>
      </c>
    </row>
    <row r="19" spans="2:9" ht="15" thickBot="1" x14ac:dyDescent="0.35"/>
    <row r="20" spans="2:9" ht="15" thickBot="1" x14ac:dyDescent="0.35">
      <c r="B20">
        <v>3</v>
      </c>
      <c r="C20" t="s">
        <v>456</v>
      </c>
      <c r="I20" s="96">
        <f>SUMIF(D4:D13,"&gt;10000",F4:F13)</f>
        <v>1028</v>
      </c>
    </row>
    <row r="21" spans="2:9" ht="15" thickBot="1" x14ac:dyDescent="0.35"/>
    <row r="22" spans="2:9" ht="15" thickBot="1" x14ac:dyDescent="0.35">
      <c r="B22">
        <v>4</v>
      </c>
      <c r="C22" t="s">
        <v>457</v>
      </c>
      <c r="I22" s="96">
        <f>SUMIF(D4:D13,"&gt;10000",D4:D13)</f>
        <v>65000</v>
      </c>
    </row>
    <row r="23" spans="2:9" ht="15" thickBot="1" x14ac:dyDescent="0.35">
      <c r="B23">
        <v>5</v>
      </c>
      <c r="C23" t="s">
        <v>458</v>
      </c>
      <c r="I23" s="96">
        <f>SUMIF(D4:D13,"&lt;9500",D4:D13)</f>
        <v>31000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35B7B-F9D9-46D3-BBFA-3084B5338507}">
  <sheetPr codeName="Sheet20"/>
  <dimension ref="A1:F32"/>
  <sheetViews>
    <sheetView topLeftCell="A13" workbookViewId="0">
      <selection activeCell="D32" sqref="D32"/>
    </sheetView>
  </sheetViews>
  <sheetFormatPr defaultRowHeight="14.4" x14ac:dyDescent="0.3"/>
  <cols>
    <col min="1" max="1" width="27.21875" bestFit="1" customWidth="1"/>
    <col min="3" max="3" width="59.77734375" bestFit="1" customWidth="1"/>
    <col min="4" max="4" width="11.88671875" bestFit="1" customWidth="1"/>
    <col min="6" max="6" width="14.6640625" bestFit="1" customWidth="1"/>
  </cols>
  <sheetData>
    <row r="1" spans="1:6" x14ac:dyDescent="0.3">
      <c r="A1" t="s">
        <v>491</v>
      </c>
    </row>
    <row r="2" spans="1:6" x14ac:dyDescent="0.3">
      <c r="A2" t="s">
        <v>492</v>
      </c>
    </row>
    <row r="3" spans="1:6" x14ac:dyDescent="0.3">
      <c r="A3" t="s">
        <v>493</v>
      </c>
    </row>
    <row r="5" spans="1:6" x14ac:dyDescent="0.3">
      <c r="A5" t="s">
        <v>1</v>
      </c>
      <c r="C5" s="98" t="s">
        <v>460</v>
      </c>
    </row>
    <row r="6" spans="1:6" x14ac:dyDescent="0.3">
      <c r="C6" s="99" t="s">
        <v>3</v>
      </c>
      <c r="D6" s="99" t="s">
        <v>461</v>
      </c>
      <c r="E6" s="99" t="s">
        <v>462</v>
      </c>
      <c r="F6" s="99" t="s">
        <v>463</v>
      </c>
    </row>
    <row r="7" spans="1:6" x14ac:dyDescent="0.3">
      <c r="C7" s="100" t="s">
        <v>464</v>
      </c>
      <c r="D7" s="100" t="s">
        <v>465</v>
      </c>
      <c r="E7" s="100" t="s">
        <v>466</v>
      </c>
      <c r="F7" s="100">
        <v>28</v>
      </c>
    </row>
    <row r="8" spans="1:6" x14ac:dyDescent="0.3">
      <c r="C8" s="100" t="s">
        <v>467</v>
      </c>
      <c r="D8" s="100" t="s">
        <v>468</v>
      </c>
      <c r="E8" s="100" t="s">
        <v>469</v>
      </c>
      <c r="F8" s="100">
        <v>8</v>
      </c>
    </row>
    <row r="9" spans="1:6" x14ac:dyDescent="0.3">
      <c r="C9" s="100" t="s">
        <v>470</v>
      </c>
      <c r="D9" s="100" t="s">
        <v>471</v>
      </c>
      <c r="E9" s="100" t="s">
        <v>466</v>
      </c>
      <c r="F9" s="100">
        <v>19</v>
      </c>
    </row>
    <row r="10" spans="1:6" x14ac:dyDescent="0.3">
      <c r="C10" s="100" t="s">
        <v>472</v>
      </c>
      <c r="D10" s="100" t="s">
        <v>473</v>
      </c>
      <c r="E10" s="100" t="s">
        <v>474</v>
      </c>
      <c r="F10" s="100">
        <v>2</v>
      </c>
    </row>
    <row r="11" spans="1:6" x14ac:dyDescent="0.3">
      <c r="C11" s="100" t="s">
        <v>475</v>
      </c>
      <c r="D11" s="100" t="s">
        <v>471</v>
      </c>
      <c r="E11" s="100" t="s">
        <v>476</v>
      </c>
      <c r="F11" s="100">
        <v>5</v>
      </c>
    </row>
    <row r="12" spans="1:6" x14ac:dyDescent="0.3">
      <c r="C12" s="100" t="s">
        <v>477</v>
      </c>
      <c r="D12" s="100" t="s">
        <v>468</v>
      </c>
      <c r="E12" s="100" t="s">
        <v>466</v>
      </c>
      <c r="F12" s="100">
        <v>9</v>
      </c>
    </row>
    <row r="13" spans="1:6" x14ac:dyDescent="0.3">
      <c r="C13" s="100" t="s">
        <v>478</v>
      </c>
      <c r="D13" s="100" t="s">
        <v>471</v>
      </c>
      <c r="E13" s="100" t="s">
        <v>479</v>
      </c>
      <c r="F13" s="100">
        <v>18</v>
      </c>
    </row>
    <row r="14" spans="1:6" x14ac:dyDescent="0.3">
      <c r="C14" s="100" t="s">
        <v>480</v>
      </c>
      <c r="D14" s="100" t="s">
        <v>465</v>
      </c>
      <c r="E14" s="100" t="s">
        <v>466</v>
      </c>
      <c r="F14" s="100">
        <v>11</v>
      </c>
    </row>
    <row r="15" spans="1:6" x14ac:dyDescent="0.3">
      <c r="C15" s="100" t="s">
        <v>481</v>
      </c>
      <c r="D15" s="100" t="s">
        <v>473</v>
      </c>
      <c r="E15" s="100" t="s">
        <v>482</v>
      </c>
      <c r="F15" s="100">
        <v>3</v>
      </c>
    </row>
    <row r="16" spans="1:6" x14ac:dyDescent="0.3">
      <c r="C16" s="100" t="s">
        <v>483</v>
      </c>
      <c r="D16" s="100" t="s">
        <v>468</v>
      </c>
      <c r="E16" s="100" t="s">
        <v>484</v>
      </c>
      <c r="F16" s="100">
        <v>15</v>
      </c>
    </row>
    <row r="18" spans="2:6" x14ac:dyDescent="0.3">
      <c r="C18" s="101" t="s">
        <v>485</v>
      </c>
      <c r="F18" s="106" t="s">
        <v>486</v>
      </c>
    </row>
    <row r="20" spans="2:6" x14ac:dyDescent="0.3">
      <c r="B20" s="97">
        <v>1</v>
      </c>
      <c r="C20" s="102" t="s">
        <v>487</v>
      </c>
    </row>
    <row r="21" spans="2:6" x14ac:dyDescent="0.3">
      <c r="D21" s="103" t="s">
        <v>488</v>
      </c>
      <c r="E21" s="103"/>
    </row>
    <row r="22" spans="2:6" x14ac:dyDescent="0.3">
      <c r="C22" s="104" t="s">
        <v>120</v>
      </c>
      <c r="D22" s="105">
        <f>SUMIF(E7:E16,"USA",F7:F16)</f>
        <v>67</v>
      </c>
    </row>
    <row r="25" spans="2:6" x14ac:dyDescent="0.3">
      <c r="B25" s="97">
        <v>2</v>
      </c>
      <c r="C25" s="102" t="s">
        <v>489</v>
      </c>
    </row>
    <row r="26" spans="2:6" x14ac:dyDescent="0.3">
      <c r="D26" s="103" t="s">
        <v>488</v>
      </c>
      <c r="E26" s="103"/>
    </row>
    <row r="27" spans="2:6" x14ac:dyDescent="0.3">
      <c r="C27" s="104" t="s">
        <v>120</v>
      </c>
      <c r="D27" s="105">
        <f>SUMIF(D7:D16,"Figure Skating",F7:F16)</f>
        <v>5</v>
      </c>
    </row>
    <row r="30" spans="2:6" x14ac:dyDescent="0.3">
      <c r="B30" s="97">
        <v>2</v>
      </c>
      <c r="C30" s="102" t="s">
        <v>490</v>
      </c>
    </row>
    <row r="31" spans="2:6" x14ac:dyDescent="0.3">
      <c r="D31" s="103" t="s">
        <v>488</v>
      </c>
      <c r="E31" s="103"/>
    </row>
    <row r="32" spans="2:6" x14ac:dyDescent="0.3">
      <c r="C32" s="104" t="s">
        <v>120</v>
      </c>
      <c r="D32" s="105">
        <f>SUMIF(E7:E16,"USA",F7:F16) + SUMIF(E7:E16,"Jamaica",F7:F16)</f>
        <v>75</v>
      </c>
    </row>
  </sheetData>
  <hyperlinks>
    <hyperlink ref="F18" location="'SUMIF2  Answers'!A1" display="'SUMIF2  Answers'!A1" xr:uid="{DA230318-6F6E-4078-8B08-884F2CFE2295}"/>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AB341-6CA7-48A8-9DF3-B0A0FD590726}">
  <sheetPr codeName="Sheet21"/>
  <dimension ref="A1:H32"/>
  <sheetViews>
    <sheetView topLeftCell="A8" workbookViewId="0">
      <selection activeCell="E20" sqref="E20"/>
    </sheetView>
  </sheetViews>
  <sheetFormatPr defaultRowHeight="14.4" x14ac:dyDescent="0.3"/>
  <cols>
    <col min="1" max="1" width="36.21875" customWidth="1"/>
    <col min="7" max="7" width="22.44140625" bestFit="1" customWidth="1"/>
    <col min="8" max="8" width="8.44140625" bestFit="1" customWidth="1"/>
  </cols>
  <sheetData>
    <row r="1" spans="1:8" ht="115.2" x14ac:dyDescent="0.3">
      <c r="A1" s="11" t="s">
        <v>494</v>
      </c>
    </row>
    <row r="3" spans="1:8" x14ac:dyDescent="0.3">
      <c r="A3" t="s">
        <v>1</v>
      </c>
    </row>
    <row r="6" spans="1:8" x14ac:dyDescent="0.3">
      <c r="A6" t="s">
        <v>495</v>
      </c>
    </row>
    <row r="7" spans="1:8" x14ac:dyDescent="0.3">
      <c r="A7" t="s">
        <v>496</v>
      </c>
    </row>
    <row r="9" spans="1:8" x14ac:dyDescent="0.3">
      <c r="G9" s="95" t="s">
        <v>497</v>
      </c>
    </row>
    <row r="11" spans="1:8" ht="28.8" x14ac:dyDescent="0.3">
      <c r="G11" s="110" t="s">
        <v>272</v>
      </c>
      <c r="H11" s="110" t="s">
        <v>498</v>
      </c>
    </row>
    <row r="12" spans="1:8" x14ac:dyDescent="0.3">
      <c r="A12" s="95" t="s">
        <v>272</v>
      </c>
      <c r="B12" s="95" t="s">
        <v>498</v>
      </c>
      <c r="G12" s="107">
        <v>44197</v>
      </c>
      <c r="H12" s="109">
        <v>1.3671</v>
      </c>
    </row>
    <row r="13" spans="1:8" x14ac:dyDescent="0.3">
      <c r="A13" s="108">
        <v>44201</v>
      </c>
      <c r="B13" s="111">
        <f>VLOOKUP(A13,G12:H32,2,0)</f>
        <v>1.3624000000000001</v>
      </c>
      <c r="G13" s="107">
        <v>44200</v>
      </c>
      <c r="H13" s="109">
        <v>1.3569</v>
      </c>
    </row>
    <row r="14" spans="1:8" x14ac:dyDescent="0.3">
      <c r="A14" s="108">
        <v>44211</v>
      </c>
      <c r="B14" s="111">
        <f>VLOOKUP(A14,G12:H32,2,0)</f>
        <v>1.3586</v>
      </c>
      <c r="G14" s="107">
        <v>44201</v>
      </c>
      <c r="H14" s="109">
        <v>1.3624000000000001</v>
      </c>
    </row>
    <row r="15" spans="1:8" x14ac:dyDescent="0.3">
      <c r="A15" s="108">
        <v>44220</v>
      </c>
      <c r="B15" s="111">
        <f>VLOOKUP(A15,G12:H32,2,1)</f>
        <v>1.3684000000000001</v>
      </c>
      <c r="G15" s="107">
        <v>44202</v>
      </c>
      <c r="H15" s="109">
        <v>1.3607</v>
      </c>
    </row>
    <row r="16" spans="1:8" x14ac:dyDescent="0.3">
      <c r="G16" s="107">
        <v>44203</v>
      </c>
      <c r="H16" s="109">
        <v>1.3563000000000001</v>
      </c>
    </row>
    <row r="17" spans="7:8" x14ac:dyDescent="0.3">
      <c r="G17" s="107">
        <v>44204</v>
      </c>
      <c r="H17" s="109">
        <v>1.3563000000000001</v>
      </c>
    </row>
    <row r="18" spans="7:8" x14ac:dyDescent="0.3">
      <c r="G18" s="107">
        <v>44207</v>
      </c>
      <c r="H18" s="109">
        <v>1.3513999999999999</v>
      </c>
    </row>
    <row r="19" spans="7:8" x14ac:dyDescent="0.3">
      <c r="G19" s="107">
        <v>44208</v>
      </c>
      <c r="H19" s="109">
        <v>1.3663000000000001</v>
      </c>
    </row>
    <row r="20" spans="7:8" x14ac:dyDescent="0.3">
      <c r="G20" s="107">
        <v>44209</v>
      </c>
      <c r="H20" s="109">
        <v>1.3636999999999999</v>
      </c>
    </row>
    <row r="21" spans="7:8" x14ac:dyDescent="0.3">
      <c r="G21" s="107">
        <v>44210</v>
      </c>
      <c r="H21" s="109">
        <v>1.3687</v>
      </c>
    </row>
    <row r="22" spans="7:8" x14ac:dyDescent="0.3">
      <c r="G22" s="107">
        <v>44211</v>
      </c>
      <c r="H22" s="109">
        <v>1.3586</v>
      </c>
    </row>
    <row r="23" spans="7:8" x14ac:dyDescent="0.3">
      <c r="G23" s="107">
        <v>44214</v>
      </c>
      <c r="H23" s="109">
        <v>1.3584000000000001</v>
      </c>
    </row>
    <row r="24" spans="7:8" x14ac:dyDescent="0.3">
      <c r="G24" s="107">
        <v>44215</v>
      </c>
      <c r="H24" s="109">
        <v>1.3628</v>
      </c>
    </row>
    <row r="25" spans="7:8" x14ac:dyDescent="0.3">
      <c r="G25" s="107">
        <v>44216</v>
      </c>
      <c r="H25" s="109">
        <v>1.3653</v>
      </c>
    </row>
    <row r="26" spans="7:8" x14ac:dyDescent="0.3">
      <c r="G26" s="107">
        <v>44217</v>
      </c>
      <c r="H26" s="109">
        <v>1.3732</v>
      </c>
    </row>
    <row r="27" spans="7:8" x14ac:dyDescent="0.3">
      <c r="G27" s="107">
        <v>44218</v>
      </c>
      <c r="H27" s="109">
        <v>1.3684000000000001</v>
      </c>
    </row>
    <row r="28" spans="7:8" x14ac:dyDescent="0.3">
      <c r="G28" s="107">
        <v>44221</v>
      </c>
      <c r="H28" s="109">
        <v>1.3673999999999999</v>
      </c>
    </row>
    <row r="29" spans="7:8" x14ac:dyDescent="0.3">
      <c r="G29" s="107">
        <v>44222</v>
      </c>
      <c r="H29" s="109">
        <v>1.3733</v>
      </c>
    </row>
    <row r="30" spans="7:8" x14ac:dyDescent="0.3">
      <c r="G30" s="107">
        <v>44223</v>
      </c>
      <c r="H30" s="109">
        <v>1.3686</v>
      </c>
    </row>
    <row r="31" spans="7:8" x14ac:dyDescent="0.3">
      <c r="G31" s="107">
        <v>44224</v>
      </c>
      <c r="H31" s="109">
        <v>1.3717999999999999</v>
      </c>
    </row>
    <row r="32" spans="7:8" x14ac:dyDescent="0.3">
      <c r="G32" s="107">
        <v>44225</v>
      </c>
      <c r="H32" s="109">
        <v>1.3702000000000001</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1C5A33-2094-4941-9E72-DD8583D422CA}">
  <sheetPr codeName="Sheet22"/>
  <dimension ref="A1:F39"/>
  <sheetViews>
    <sheetView topLeftCell="A3" workbookViewId="0">
      <selection activeCell="E20" sqref="E20"/>
    </sheetView>
  </sheetViews>
  <sheetFormatPr defaultRowHeight="14.4" x14ac:dyDescent="0.3"/>
  <cols>
    <col min="1" max="1" width="41" customWidth="1"/>
    <col min="2" max="2" width="35.109375" bestFit="1" customWidth="1"/>
    <col min="3" max="3" width="15.88671875" bestFit="1" customWidth="1"/>
    <col min="4" max="4" width="9.6640625" bestFit="1" customWidth="1"/>
    <col min="5" max="5" width="13.33203125" bestFit="1" customWidth="1"/>
  </cols>
  <sheetData>
    <row r="1" spans="1:6" ht="72" x14ac:dyDescent="0.3">
      <c r="A1" s="11" t="s">
        <v>499</v>
      </c>
    </row>
    <row r="3" spans="1:6" x14ac:dyDescent="0.3">
      <c r="A3" t="s">
        <v>1</v>
      </c>
    </row>
    <row r="4" spans="1:6" x14ac:dyDescent="0.3">
      <c r="B4" s="132" t="s">
        <v>500</v>
      </c>
      <c r="C4" s="133"/>
      <c r="D4" s="133"/>
      <c r="E4" s="133"/>
      <c r="F4" s="112"/>
    </row>
    <row r="5" spans="1:6" x14ac:dyDescent="0.3">
      <c r="B5" s="112"/>
      <c r="C5" s="112"/>
      <c r="D5" s="112"/>
      <c r="E5" s="112"/>
      <c r="F5" s="112"/>
    </row>
    <row r="6" spans="1:6" x14ac:dyDescent="0.3">
      <c r="B6" s="113" t="s">
        <v>99</v>
      </c>
      <c r="C6" s="114" t="s">
        <v>3</v>
      </c>
      <c r="D6" s="114" t="s">
        <v>501</v>
      </c>
      <c r="E6" s="114" t="s">
        <v>116</v>
      </c>
      <c r="F6" s="114" t="s">
        <v>152</v>
      </c>
    </row>
    <row r="7" spans="1:6" x14ac:dyDescent="0.3">
      <c r="B7" s="115">
        <v>56815</v>
      </c>
      <c r="C7" s="116" t="s">
        <v>502</v>
      </c>
      <c r="D7" s="116" t="s">
        <v>503</v>
      </c>
      <c r="E7" s="117">
        <v>13836</v>
      </c>
      <c r="F7" s="117">
        <v>25</v>
      </c>
    </row>
    <row r="8" spans="1:6" x14ac:dyDescent="0.3">
      <c r="B8" s="115">
        <v>51186</v>
      </c>
      <c r="C8" s="116" t="s">
        <v>504</v>
      </c>
      <c r="D8" s="116" t="s">
        <v>505</v>
      </c>
      <c r="E8" s="117">
        <v>11771</v>
      </c>
      <c r="F8" s="117">
        <v>32</v>
      </c>
    </row>
    <row r="9" spans="1:6" x14ac:dyDescent="0.3">
      <c r="B9" s="115">
        <v>51511</v>
      </c>
      <c r="C9" s="116" t="s">
        <v>506</v>
      </c>
      <c r="D9" s="116" t="s">
        <v>507</v>
      </c>
      <c r="E9" s="117">
        <v>13046</v>
      </c>
      <c r="F9" s="117">
        <v>35</v>
      </c>
    </row>
    <row r="10" spans="1:6" x14ac:dyDescent="0.3">
      <c r="B10" s="115">
        <v>50890</v>
      </c>
      <c r="C10" s="116" t="s">
        <v>508</v>
      </c>
      <c r="D10" s="116" t="s">
        <v>509</v>
      </c>
      <c r="E10" s="117">
        <v>18276</v>
      </c>
      <c r="F10" s="117">
        <v>32</v>
      </c>
    </row>
    <row r="11" spans="1:6" x14ac:dyDescent="0.3">
      <c r="B11" s="115">
        <v>53700</v>
      </c>
      <c r="C11" s="116" t="s">
        <v>510</v>
      </c>
      <c r="D11" s="116" t="s">
        <v>511</v>
      </c>
      <c r="E11" s="117">
        <v>19327</v>
      </c>
      <c r="F11" s="117">
        <v>26</v>
      </c>
    </row>
    <row r="12" spans="1:6" x14ac:dyDescent="0.3">
      <c r="B12" s="115">
        <v>55879</v>
      </c>
      <c r="C12" s="116" t="s">
        <v>512</v>
      </c>
      <c r="D12" s="116" t="s">
        <v>513</v>
      </c>
      <c r="E12" s="117">
        <v>18996</v>
      </c>
      <c r="F12" s="117">
        <v>35</v>
      </c>
    </row>
    <row r="13" spans="1:6" x14ac:dyDescent="0.3">
      <c r="B13" s="115">
        <v>59848</v>
      </c>
      <c r="C13" s="116" t="s">
        <v>514</v>
      </c>
      <c r="D13" s="116" t="s">
        <v>507</v>
      </c>
      <c r="E13" s="117">
        <v>10387</v>
      </c>
      <c r="F13" s="117">
        <v>25</v>
      </c>
    </row>
    <row r="14" spans="1:6" x14ac:dyDescent="0.3">
      <c r="B14" s="115">
        <v>58369</v>
      </c>
      <c r="C14" s="116" t="s">
        <v>515</v>
      </c>
      <c r="D14" s="116" t="s">
        <v>513</v>
      </c>
      <c r="E14" s="117">
        <v>12566</v>
      </c>
      <c r="F14" s="117">
        <v>37</v>
      </c>
    </row>
    <row r="15" spans="1:6" x14ac:dyDescent="0.3">
      <c r="B15" s="115">
        <v>50217</v>
      </c>
      <c r="C15" s="116" t="s">
        <v>516</v>
      </c>
      <c r="D15" s="116" t="s">
        <v>517</v>
      </c>
      <c r="E15" s="117">
        <v>16406</v>
      </c>
      <c r="F15" s="117">
        <v>42</v>
      </c>
    </row>
    <row r="16" spans="1:6" x14ac:dyDescent="0.3">
      <c r="B16" s="115">
        <v>50695</v>
      </c>
      <c r="C16" s="116" t="s">
        <v>518</v>
      </c>
      <c r="D16" s="116" t="s">
        <v>509</v>
      </c>
      <c r="E16" s="117">
        <v>15784</v>
      </c>
      <c r="F16" s="117">
        <v>43</v>
      </c>
    </row>
    <row r="17" spans="2:6" x14ac:dyDescent="0.3">
      <c r="B17" s="115">
        <v>59673</v>
      </c>
      <c r="C17" s="116" t="s">
        <v>519</v>
      </c>
      <c r="D17" s="116" t="s">
        <v>503</v>
      </c>
      <c r="E17" s="117">
        <v>10959</v>
      </c>
      <c r="F17" s="117">
        <v>30</v>
      </c>
    </row>
    <row r="18" spans="2:6" x14ac:dyDescent="0.3">
      <c r="B18" s="115">
        <v>52130</v>
      </c>
      <c r="C18" s="116" t="s">
        <v>520</v>
      </c>
      <c r="D18" s="116" t="s">
        <v>521</v>
      </c>
      <c r="E18" s="117">
        <v>14562</v>
      </c>
      <c r="F18" s="117">
        <v>32</v>
      </c>
    </row>
    <row r="19" spans="2:6" x14ac:dyDescent="0.3">
      <c r="B19" s="112"/>
      <c r="C19" s="112"/>
      <c r="D19" s="112"/>
      <c r="E19" s="112"/>
      <c r="F19" s="112"/>
    </row>
    <row r="20" spans="2:6" x14ac:dyDescent="0.3">
      <c r="B20" s="112" t="s">
        <v>522</v>
      </c>
      <c r="C20" s="6"/>
      <c r="D20" s="6"/>
      <c r="E20" s="121" t="str">
        <f>VLOOKUP(B14,B7:F18,2,FALSE)</f>
        <v>Thomas Davies</v>
      </c>
      <c r="F20" s="112"/>
    </row>
    <row r="21" spans="2:6" x14ac:dyDescent="0.3">
      <c r="B21" s="112"/>
      <c r="C21" s="112"/>
      <c r="D21" s="112"/>
      <c r="E21" s="112"/>
      <c r="F21" s="112"/>
    </row>
    <row r="22" spans="2:6" x14ac:dyDescent="0.3">
      <c r="B22" s="112" t="s">
        <v>523</v>
      </c>
      <c r="C22" s="6"/>
      <c r="D22" s="112"/>
      <c r="E22" s="121">
        <f>VLOOKUP(C17,C7:F18,4,0)</f>
        <v>30</v>
      </c>
      <c r="F22" s="112"/>
    </row>
    <row r="23" spans="2:6" x14ac:dyDescent="0.3">
      <c r="B23" s="112"/>
      <c r="C23" s="112"/>
      <c r="D23" s="112"/>
      <c r="E23" s="112"/>
      <c r="F23" s="112"/>
    </row>
    <row r="24" spans="2:6" x14ac:dyDescent="0.3">
      <c r="B24" s="134" t="s">
        <v>524</v>
      </c>
      <c r="C24" s="133"/>
      <c r="D24" s="133"/>
      <c r="E24" s="112"/>
      <c r="F24" s="112"/>
    </row>
    <row r="25" spans="2:6" x14ac:dyDescent="0.3">
      <c r="B25" s="112"/>
      <c r="C25" s="112"/>
      <c r="D25" s="112"/>
      <c r="E25" s="112"/>
      <c r="F25" s="112"/>
    </row>
    <row r="26" spans="2:6" x14ac:dyDescent="0.3">
      <c r="B26" s="118" t="s">
        <v>99</v>
      </c>
      <c r="C26" s="119" t="s">
        <v>501</v>
      </c>
      <c r="D26" s="112"/>
      <c r="E26" s="112"/>
      <c r="F26" s="112"/>
    </row>
    <row r="27" spans="2:6" x14ac:dyDescent="0.3">
      <c r="B27" s="115">
        <v>55879</v>
      </c>
      <c r="C27" s="122" t="str">
        <f>VLOOKUP(B27,$B$7:$F$18,3,0)</f>
        <v>Capetown</v>
      </c>
      <c r="D27" s="112"/>
      <c r="E27" s="112"/>
      <c r="F27" s="112"/>
    </row>
    <row r="28" spans="2:6" x14ac:dyDescent="0.3">
      <c r="B28" s="115">
        <v>50217</v>
      </c>
      <c r="C28" s="122" t="str">
        <f t="shared" ref="C28:C29" si="0">VLOOKUP(B28,$B$7:$F$18,3,0)</f>
        <v>Warsaw</v>
      </c>
      <c r="D28" s="112"/>
      <c r="E28" s="112"/>
      <c r="F28" s="112"/>
    </row>
    <row r="29" spans="2:6" x14ac:dyDescent="0.3">
      <c r="B29" s="115">
        <v>50695</v>
      </c>
      <c r="C29" s="122" t="str">
        <f t="shared" si="0"/>
        <v>Cairo</v>
      </c>
      <c r="D29" s="112"/>
      <c r="E29" s="112"/>
      <c r="F29" s="112"/>
    </row>
    <row r="30" spans="2:6" x14ac:dyDescent="0.3">
      <c r="B30" s="112"/>
      <c r="C30" s="112"/>
      <c r="D30" s="112"/>
      <c r="E30" s="112"/>
      <c r="F30" s="112"/>
    </row>
    <row r="31" spans="2:6" x14ac:dyDescent="0.3">
      <c r="B31" s="134" t="s">
        <v>525</v>
      </c>
      <c r="C31" s="133"/>
      <c r="D31" s="133"/>
      <c r="E31" s="112"/>
      <c r="F31" s="112"/>
    </row>
    <row r="32" spans="2:6" x14ac:dyDescent="0.3">
      <c r="B32" s="112"/>
      <c r="C32" s="112"/>
      <c r="D32" s="112"/>
      <c r="E32" s="112"/>
      <c r="F32" s="112"/>
    </row>
    <row r="33" spans="2:6" x14ac:dyDescent="0.3">
      <c r="B33" s="118" t="s">
        <v>3</v>
      </c>
      <c r="C33" s="119" t="s">
        <v>116</v>
      </c>
      <c r="D33" s="112"/>
      <c r="E33" s="112"/>
      <c r="F33" s="112"/>
    </row>
    <row r="34" spans="2:6" x14ac:dyDescent="0.3">
      <c r="B34" s="120" t="s">
        <v>508</v>
      </c>
      <c r="C34" s="122">
        <f>VLOOKUP(B34,$C$7:$E$18,3,0)</f>
        <v>18276</v>
      </c>
      <c r="D34" s="112"/>
      <c r="E34" s="112"/>
      <c r="F34" s="112"/>
    </row>
    <row r="35" spans="2:6" x14ac:dyDescent="0.3">
      <c r="B35" s="120" t="s">
        <v>526</v>
      </c>
      <c r="C35" s="122" t="e">
        <f t="shared" ref="C35:C36" si="1">VLOOKUP(B35,$C$7:$E$18,3,0)</f>
        <v>#N/A</v>
      </c>
      <c r="D35" s="112"/>
      <c r="E35" s="112"/>
      <c r="F35" s="112"/>
    </row>
    <row r="36" spans="2:6" x14ac:dyDescent="0.3">
      <c r="B36" s="120" t="s">
        <v>519</v>
      </c>
      <c r="C36" s="122">
        <f t="shared" si="1"/>
        <v>10959</v>
      </c>
      <c r="D36" s="112"/>
      <c r="E36" s="112"/>
      <c r="F36" s="112"/>
    </row>
    <row r="37" spans="2:6" x14ac:dyDescent="0.3">
      <c r="B37" s="112"/>
      <c r="C37" s="112"/>
      <c r="D37" s="112"/>
      <c r="E37" s="112"/>
      <c r="F37" s="112"/>
    </row>
    <row r="38" spans="2:6" x14ac:dyDescent="0.3">
      <c r="B38" s="112"/>
      <c r="C38" s="112"/>
      <c r="D38" s="112"/>
      <c r="E38" s="112"/>
      <c r="F38" s="112"/>
    </row>
    <row r="39" spans="2:6" x14ac:dyDescent="0.3">
      <c r="B39" s="112"/>
      <c r="C39" s="112"/>
      <c r="D39" s="112"/>
      <c r="E39" s="112"/>
      <c r="F39" s="112"/>
    </row>
  </sheetData>
  <mergeCells count="3">
    <mergeCell ref="B4:E4"/>
    <mergeCell ref="B24:D24"/>
    <mergeCell ref="B31:D3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2A843F-FBDF-4013-B137-613916723DB3}">
  <sheetPr codeName="Sheet23"/>
  <dimension ref="A1:G31"/>
  <sheetViews>
    <sheetView topLeftCell="A8" workbookViewId="0">
      <selection activeCell="B30" sqref="B30:D32"/>
    </sheetView>
  </sheetViews>
  <sheetFormatPr defaultRowHeight="14.4" x14ac:dyDescent="0.3"/>
  <cols>
    <col min="1" max="1" width="33.77734375" customWidth="1"/>
    <col min="2" max="2" width="83.6640625" bestFit="1" customWidth="1"/>
    <col min="3" max="3" width="11.5546875" bestFit="1" customWidth="1"/>
    <col min="5" max="5" width="11.5546875" bestFit="1" customWidth="1"/>
  </cols>
  <sheetData>
    <row r="1" spans="1:5" ht="57.6" x14ac:dyDescent="0.3">
      <c r="A1" s="11" t="s">
        <v>527</v>
      </c>
    </row>
    <row r="3" spans="1:5" x14ac:dyDescent="0.3">
      <c r="A3" t="s">
        <v>1</v>
      </c>
    </row>
    <row r="5" spans="1:5" x14ac:dyDescent="0.3">
      <c r="B5" s="104" t="s">
        <v>528</v>
      </c>
    </row>
    <row r="6" spans="1:5" x14ac:dyDescent="0.3">
      <c r="A6" s="127" t="s">
        <v>555</v>
      </c>
      <c r="B6" s="124" t="s">
        <v>3</v>
      </c>
      <c r="C6" s="124" t="s">
        <v>152</v>
      </c>
      <c r="D6" s="124" t="s">
        <v>529</v>
      </c>
      <c r="E6" s="124" t="s">
        <v>530</v>
      </c>
    </row>
    <row r="7" spans="1:5" x14ac:dyDescent="0.3">
      <c r="A7" t="str">
        <f>LEFT(B7,1)</f>
        <v>J</v>
      </c>
      <c r="B7" s="125" t="s">
        <v>531</v>
      </c>
      <c r="C7" s="125">
        <v>35</v>
      </c>
      <c r="D7" s="125" t="s">
        <v>532</v>
      </c>
      <c r="E7" s="125" t="s">
        <v>533</v>
      </c>
    </row>
    <row r="8" spans="1:5" x14ac:dyDescent="0.3">
      <c r="A8" t="str">
        <f t="shared" ref="A8:A16" si="0">LEFT(B8,1)</f>
        <v>J</v>
      </c>
      <c r="B8" s="125" t="s">
        <v>534</v>
      </c>
      <c r="C8" s="125">
        <v>42</v>
      </c>
      <c r="D8" s="125" t="s">
        <v>535</v>
      </c>
      <c r="E8" s="125" t="s">
        <v>536</v>
      </c>
    </row>
    <row r="9" spans="1:5" x14ac:dyDescent="0.3">
      <c r="A9" t="str">
        <f t="shared" si="0"/>
        <v>B</v>
      </c>
      <c r="B9" s="125" t="s">
        <v>103</v>
      </c>
      <c r="C9" s="125">
        <v>28</v>
      </c>
      <c r="D9" s="125" t="s">
        <v>532</v>
      </c>
      <c r="E9" s="125" t="s">
        <v>537</v>
      </c>
    </row>
    <row r="10" spans="1:5" x14ac:dyDescent="0.3">
      <c r="A10" t="str">
        <f t="shared" si="0"/>
        <v>E</v>
      </c>
      <c r="B10" s="125" t="s">
        <v>538</v>
      </c>
      <c r="C10" s="125">
        <v>25</v>
      </c>
      <c r="D10" s="125" t="s">
        <v>535</v>
      </c>
      <c r="E10" s="125" t="s">
        <v>112</v>
      </c>
    </row>
    <row r="11" spans="1:5" x14ac:dyDescent="0.3">
      <c r="A11" t="str">
        <f t="shared" si="0"/>
        <v>S</v>
      </c>
      <c r="B11" s="125" t="s">
        <v>539</v>
      </c>
      <c r="C11" s="125">
        <v>31</v>
      </c>
      <c r="D11" s="125" t="s">
        <v>532</v>
      </c>
      <c r="E11" s="125" t="s">
        <v>113</v>
      </c>
    </row>
    <row r="12" spans="1:5" x14ac:dyDescent="0.3">
      <c r="A12" t="str">
        <f t="shared" si="0"/>
        <v>A</v>
      </c>
      <c r="B12" s="125" t="s">
        <v>540</v>
      </c>
      <c r="C12" s="125">
        <v>27</v>
      </c>
      <c r="D12" s="125" t="s">
        <v>535</v>
      </c>
      <c r="E12" s="125" t="s">
        <v>541</v>
      </c>
    </row>
    <row r="13" spans="1:5" x14ac:dyDescent="0.3">
      <c r="A13" t="str">
        <f t="shared" si="0"/>
        <v>Y</v>
      </c>
      <c r="B13" s="125" t="s">
        <v>542</v>
      </c>
      <c r="C13" s="125">
        <v>38</v>
      </c>
      <c r="D13" s="125" t="s">
        <v>532</v>
      </c>
      <c r="E13" s="125" t="s">
        <v>543</v>
      </c>
    </row>
    <row r="14" spans="1:5" x14ac:dyDescent="0.3">
      <c r="A14" t="str">
        <f t="shared" si="0"/>
        <v>S</v>
      </c>
      <c r="B14" s="125" t="s">
        <v>544</v>
      </c>
      <c r="C14" s="125">
        <v>29</v>
      </c>
      <c r="D14" s="125" t="s">
        <v>535</v>
      </c>
      <c r="E14" s="125" t="s">
        <v>545</v>
      </c>
    </row>
    <row r="15" spans="1:5" x14ac:dyDescent="0.3">
      <c r="A15" t="str">
        <f t="shared" si="0"/>
        <v>M</v>
      </c>
      <c r="B15" s="125" t="s">
        <v>546</v>
      </c>
      <c r="C15" s="125">
        <v>45</v>
      </c>
      <c r="D15" s="125" t="s">
        <v>532</v>
      </c>
      <c r="E15" s="125" t="s">
        <v>547</v>
      </c>
    </row>
    <row r="16" spans="1:5" x14ac:dyDescent="0.3">
      <c r="A16" t="str">
        <f t="shared" si="0"/>
        <v>L</v>
      </c>
      <c r="B16" s="125" t="s">
        <v>548</v>
      </c>
      <c r="C16" s="125">
        <v>33</v>
      </c>
      <c r="D16" s="125" t="s">
        <v>535</v>
      </c>
      <c r="E16" s="125" t="s">
        <v>549</v>
      </c>
    </row>
    <row r="19" spans="2:7" x14ac:dyDescent="0.3">
      <c r="B19" s="126" t="s">
        <v>485</v>
      </c>
    </row>
    <row r="20" spans="2:7" x14ac:dyDescent="0.3">
      <c r="G20" s="123" t="s">
        <v>550</v>
      </c>
    </row>
    <row r="21" spans="2:7" x14ac:dyDescent="0.3">
      <c r="B21" s="123" t="s">
        <v>551</v>
      </c>
    </row>
    <row r="22" spans="2:7" x14ac:dyDescent="0.3">
      <c r="C22" s="103" t="s">
        <v>488</v>
      </c>
      <c r="D22" s="103"/>
    </row>
    <row r="23" spans="2:7" x14ac:dyDescent="0.3">
      <c r="B23" s="104" t="s">
        <v>120</v>
      </c>
      <c r="C23" s="105" t="str">
        <f>VLOOKUP(B8,B7:E16,4,0)</f>
        <v>Data Scientist</v>
      </c>
    </row>
    <row r="25" spans="2:7" x14ac:dyDescent="0.3">
      <c r="B25" s="123" t="s">
        <v>552</v>
      </c>
    </row>
    <row r="26" spans="2:7" x14ac:dyDescent="0.3">
      <c r="C26" s="103" t="s">
        <v>488</v>
      </c>
      <c r="D26" s="103"/>
    </row>
    <row r="27" spans="2:7" x14ac:dyDescent="0.3">
      <c r="B27" s="104" t="s">
        <v>120</v>
      </c>
      <c r="C27" s="105">
        <f>VLOOKUP(B15,B7:E16,2,0)</f>
        <v>45</v>
      </c>
    </row>
    <row r="29" spans="2:7" x14ac:dyDescent="0.3">
      <c r="B29" s="123" t="s">
        <v>553</v>
      </c>
    </row>
    <row r="30" spans="2:7" x14ac:dyDescent="0.3">
      <c r="C30" s="103" t="s">
        <v>488</v>
      </c>
      <c r="D30" s="103"/>
    </row>
    <row r="31" spans="2:7" x14ac:dyDescent="0.3">
      <c r="B31" s="104" t="s">
        <v>120</v>
      </c>
      <c r="C31" s="105" t="str">
        <f>VLOOKUP("B",A7:E16,5,0)</f>
        <v>Accountant</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C0C72A-6FB1-48BB-8C73-DA24CC442C14}">
  <sheetPr codeName="Sheet24"/>
  <dimension ref="A1:F256"/>
  <sheetViews>
    <sheetView workbookViewId="0">
      <selection activeCell="F8" sqref="F8"/>
    </sheetView>
  </sheetViews>
  <sheetFormatPr defaultRowHeight="14.4" x14ac:dyDescent="0.3"/>
  <cols>
    <col min="1" max="1" width="59.44140625" customWidth="1"/>
    <col min="2" max="2" width="4.21875" bestFit="1" customWidth="1"/>
    <col min="3" max="3" width="8" bestFit="1" customWidth="1"/>
    <col min="4" max="4" width="13.21875" bestFit="1" customWidth="1"/>
    <col min="5" max="5" width="15.109375" bestFit="1" customWidth="1"/>
    <col min="6" max="6" width="12" bestFit="1" customWidth="1"/>
  </cols>
  <sheetData>
    <row r="1" spans="1:6" ht="129.6" x14ac:dyDescent="0.3">
      <c r="A1" s="10" t="s">
        <v>554</v>
      </c>
    </row>
    <row r="3" spans="1:6" x14ac:dyDescent="0.3">
      <c r="A3" t="s">
        <v>1</v>
      </c>
    </row>
    <row r="10" spans="1:6" x14ac:dyDescent="0.3">
      <c r="B10" t="s">
        <v>556</v>
      </c>
      <c r="C10" t="s">
        <v>557</v>
      </c>
      <c r="D10" t="s">
        <v>558</v>
      </c>
      <c r="E10" t="s">
        <v>559</v>
      </c>
      <c r="F10" t="s">
        <v>560</v>
      </c>
    </row>
    <row r="11" spans="1:6" x14ac:dyDescent="0.3">
      <c r="B11">
        <v>2</v>
      </c>
      <c r="C11" t="s">
        <v>561</v>
      </c>
      <c r="D11">
        <v>1267830000</v>
      </c>
      <c r="E11" s="108">
        <v>42069</v>
      </c>
      <c r="F11">
        <v>0.17499999999999999</v>
      </c>
    </row>
    <row r="12" spans="1:6" x14ac:dyDescent="0.3">
      <c r="B12">
        <v>3</v>
      </c>
      <c r="C12" t="s">
        <v>562</v>
      </c>
      <c r="D12">
        <v>320529000</v>
      </c>
      <c r="E12" s="108">
        <v>42069</v>
      </c>
      <c r="F12">
        <v>4.4299999999999999E-2</v>
      </c>
    </row>
    <row r="13" spans="1:6" x14ac:dyDescent="0.3">
      <c r="B13">
        <v>4</v>
      </c>
      <c r="C13" t="s">
        <v>563</v>
      </c>
      <c r="D13">
        <v>255461700</v>
      </c>
      <c r="E13" s="108">
        <v>42186</v>
      </c>
      <c r="F13">
        <v>3.5299999999999998E-2</v>
      </c>
    </row>
    <row r="14" spans="1:6" x14ac:dyDescent="0.3">
      <c r="B14">
        <v>5</v>
      </c>
      <c r="C14" t="s">
        <v>564</v>
      </c>
      <c r="D14">
        <v>203975000</v>
      </c>
      <c r="E14" s="108">
        <v>42069</v>
      </c>
      <c r="F14">
        <v>2.8199999999999999E-2</v>
      </c>
    </row>
    <row r="15" spans="1:6" x14ac:dyDescent="0.3">
      <c r="B15">
        <v>6</v>
      </c>
      <c r="C15" t="s">
        <v>565</v>
      </c>
      <c r="D15">
        <v>189150000</v>
      </c>
      <c r="E15" s="108">
        <v>42069</v>
      </c>
      <c r="F15">
        <v>2.6200000000000001E-2</v>
      </c>
    </row>
    <row r="16" spans="1:6" x14ac:dyDescent="0.3">
      <c r="B16">
        <v>7</v>
      </c>
      <c r="C16" t="s">
        <v>566</v>
      </c>
      <c r="D16">
        <v>183523000</v>
      </c>
      <c r="E16" s="108">
        <v>42186</v>
      </c>
      <c r="F16">
        <v>2.5399999999999999E-2</v>
      </c>
    </row>
    <row r="17" spans="2:6" x14ac:dyDescent="0.3">
      <c r="B17">
        <v>8</v>
      </c>
      <c r="C17" t="s">
        <v>567</v>
      </c>
      <c r="D17">
        <v>157941000</v>
      </c>
      <c r="E17" s="108">
        <v>42069</v>
      </c>
      <c r="F17">
        <v>2.18E-2</v>
      </c>
    </row>
    <row r="18" spans="2:6" x14ac:dyDescent="0.3">
      <c r="B18">
        <v>9</v>
      </c>
      <c r="C18" t="s">
        <v>568</v>
      </c>
      <c r="D18">
        <v>146270033</v>
      </c>
      <c r="E18" s="108">
        <v>42005</v>
      </c>
      <c r="F18">
        <v>2.0199999999999999E-2</v>
      </c>
    </row>
    <row r="19" spans="2:6" x14ac:dyDescent="0.3">
      <c r="B19">
        <v>10</v>
      </c>
      <c r="C19" t="s">
        <v>569</v>
      </c>
      <c r="D19">
        <v>126970000</v>
      </c>
      <c r="E19" s="108">
        <v>42036</v>
      </c>
      <c r="F19">
        <v>1.7600000000000001E-2</v>
      </c>
    </row>
    <row r="20" spans="2:6" x14ac:dyDescent="0.3">
      <c r="B20">
        <v>11</v>
      </c>
      <c r="C20" t="s">
        <v>570</v>
      </c>
      <c r="D20">
        <v>121005815</v>
      </c>
      <c r="E20" s="108">
        <v>42186</v>
      </c>
      <c r="F20">
        <v>1.67E-2</v>
      </c>
    </row>
    <row r="21" spans="2:6" x14ac:dyDescent="0.3">
      <c r="B21">
        <v>12</v>
      </c>
      <c r="C21" t="s">
        <v>571</v>
      </c>
      <c r="D21">
        <v>101098400</v>
      </c>
      <c r="E21" s="108">
        <v>42069</v>
      </c>
      <c r="F21">
        <v>1.4E-2</v>
      </c>
    </row>
    <row r="22" spans="2:6" x14ac:dyDescent="0.3">
      <c r="B22">
        <v>13</v>
      </c>
      <c r="C22" t="s">
        <v>572</v>
      </c>
      <c r="D22">
        <v>90730000</v>
      </c>
      <c r="E22" s="108">
        <v>41821</v>
      </c>
      <c r="F22">
        <v>1.26E-2</v>
      </c>
    </row>
    <row r="23" spans="2:6" x14ac:dyDescent="0.3">
      <c r="B23">
        <v>14</v>
      </c>
      <c r="C23" t="s">
        <v>573</v>
      </c>
      <c r="D23">
        <v>90076012</v>
      </c>
      <c r="E23" s="108">
        <v>42186</v>
      </c>
      <c r="F23">
        <v>1.2500000000000001E-2</v>
      </c>
    </row>
    <row r="24" spans="2:6" x14ac:dyDescent="0.3">
      <c r="B24">
        <v>15</v>
      </c>
      <c r="C24" t="s">
        <v>574</v>
      </c>
      <c r="D24">
        <v>88123300</v>
      </c>
      <c r="E24" s="108">
        <v>42069</v>
      </c>
      <c r="F24">
        <v>1.2200000000000001E-2</v>
      </c>
    </row>
    <row r="25" spans="2:6" x14ac:dyDescent="0.3">
      <c r="B25">
        <v>16</v>
      </c>
      <c r="C25" t="s">
        <v>575</v>
      </c>
      <c r="D25">
        <v>80925000</v>
      </c>
      <c r="E25" s="108">
        <v>41820</v>
      </c>
      <c r="F25">
        <v>1.12E-2</v>
      </c>
    </row>
    <row r="26" spans="2:6" x14ac:dyDescent="0.3">
      <c r="B26">
        <v>17</v>
      </c>
      <c r="C26" t="s">
        <v>576</v>
      </c>
      <c r="D26">
        <v>78165200</v>
      </c>
      <c r="E26" s="108">
        <v>42069</v>
      </c>
      <c r="F26">
        <v>1.0800000000000001E-2</v>
      </c>
    </row>
    <row r="27" spans="2:6" x14ac:dyDescent="0.3">
      <c r="B27">
        <v>18</v>
      </c>
      <c r="C27" t="s">
        <v>577</v>
      </c>
      <c r="D27">
        <v>77695904</v>
      </c>
      <c r="E27" s="108">
        <v>42004</v>
      </c>
      <c r="F27">
        <v>1.0699999999999999E-2</v>
      </c>
    </row>
    <row r="28" spans="2:6" x14ac:dyDescent="0.3">
      <c r="B28">
        <v>19</v>
      </c>
      <c r="C28" t="s">
        <v>578</v>
      </c>
      <c r="D28">
        <v>71246000</v>
      </c>
      <c r="E28" s="108">
        <v>42186</v>
      </c>
      <c r="F28">
        <v>9.9000000000000008E-3</v>
      </c>
    </row>
    <row r="29" spans="2:6" x14ac:dyDescent="0.3">
      <c r="B29">
        <v>20</v>
      </c>
      <c r="C29" t="s">
        <v>579</v>
      </c>
      <c r="D29">
        <v>66104000</v>
      </c>
      <c r="E29" s="108">
        <v>42036</v>
      </c>
      <c r="F29">
        <v>9.1000000000000004E-3</v>
      </c>
    </row>
    <row r="30" spans="2:6" x14ac:dyDescent="0.3">
      <c r="B30">
        <v>21</v>
      </c>
      <c r="C30" t="s">
        <v>580</v>
      </c>
      <c r="D30">
        <v>64871000</v>
      </c>
      <c r="E30" s="108">
        <v>41821</v>
      </c>
      <c r="F30">
        <v>8.9999999999999993E-3</v>
      </c>
    </row>
    <row r="31" spans="2:6" x14ac:dyDescent="0.3">
      <c r="B31">
        <v>22</v>
      </c>
      <c r="C31" t="s">
        <v>562</v>
      </c>
      <c r="D31">
        <v>64105654</v>
      </c>
      <c r="E31" s="108">
        <v>41456</v>
      </c>
      <c r="F31">
        <v>8.8999999999999999E-3</v>
      </c>
    </row>
    <row r="32" spans="2:6" x14ac:dyDescent="0.3">
      <c r="B32">
        <v>23</v>
      </c>
      <c r="C32" t="s">
        <v>581</v>
      </c>
      <c r="D32">
        <v>60782309</v>
      </c>
      <c r="E32" s="108">
        <v>41912</v>
      </c>
      <c r="F32">
        <v>8.3999999999999995E-3</v>
      </c>
    </row>
    <row r="33" spans="2:6" x14ac:dyDescent="0.3">
      <c r="B33">
        <v>24</v>
      </c>
      <c r="C33" t="s">
        <v>582</v>
      </c>
      <c r="D33">
        <v>54002000</v>
      </c>
      <c r="E33" s="108">
        <v>41821</v>
      </c>
      <c r="F33">
        <v>7.4999999999999997E-3</v>
      </c>
    </row>
    <row r="34" spans="2:6" x14ac:dyDescent="0.3">
      <c r="B34">
        <v>25</v>
      </c>
      <c r="C34" t="s">
        <v>583</v>
      </c>
      <c r="D34">
        <v>51419420</v>
      </c>
      <c r="E34" s="108">
        <v>41727</v>
      </c>
      <c r="F34">
        <v>7.1000000000000004E-3</v>
      </c>
    </row>
    <row r="35" spans="2:6" x14ac:dyDescent="0.3">
      <c r="B35">
        <v>26</v>
      </c>
      <c r="C35" t="s">
        <v>582</v>
      </c>
      <c r="D35">
        <v>51342881</v>
      </c>
      <c r="E35" s="108">
        <v>42005</v>
      </c>
      <c r="F35">
        <v>7.1000000000000004E-3</v>
      </c>
    </row>
    <row r="36" spans="2:6" x14ac:dyDescent="0.3">
      <c r="B36">
        <v>27</v>
      </c>
      <c r="C36" t="s">
        <v>584</v>
      </c>
      <c r="D36">
        <v>48025400</v>
      </c>
      <c r="E36" s="108">
        <v>42069</v>
      </c>
      <c r="F36">
        <v>6.6400000000000001E-3</v>
      </c>
    </row>
    <row r="37" spans="2:6" x14ac:dyDescent="0.3">
      <c r="B37">
        <v>28</v>
      </c>
      <c r="C37" t="s">
        <v>585</v>
      </c>
      <c r="D37">
        <v>47421786</v>
      </c>
      <c r="E37" s="108">
        <v>41821</v>
      </c>
      <c r="F37">
        <v>6.6E-3</v>
      </c>
    </row>
    <row r="38" spans="2:6" x14ac:dyDescent="0.3">
      <c r="B38">
        <v>29</v>
      </c>
      <c r="C38" t="s">
        <v>586</v>
      </c>
      <c r="D38">
        <v>46749000</v>
      </c>
      <c r="E38" s="108">
        <v>42186</v>
      </c>
      <c r="F38">
        <v>6.4999999999999997E-3</v>
      </c>
    </row>
    <row r="39" spans="2:6" x14ac:dyDescent="0.3">
      <c r="B39">
        <v>30</v>
      </c>
      <c r="C39" t="s">
        <v>587</v>
      </c>
      <c r="D39">
        <v>46464053</v>
      </c>
      <c r="E39" s="108">
        <v>41821</v>
      </c>
      <c r="F39">
        <v>6.4000000000000003E-3</v>
      </c>
    </row>
    <row r="40" spans="2:6" x14ac:dyDescent="0.3">
      <c r="B40">
        <v>31</v>
      </c>
      <c r="C40" t="s">
        <v>588</v>
      </c>
      <c r="D40">
        <v>43131966</v>
      </c>
      <c r="E40" s="108">
        <v>42186</v>
      </c>
      <c r="F40">
        <v>6.0000000000000001E-3</v>
      </c>
    </row>
    <row r="41" spans="2:6" x14ac:dyDescent="0.3">
      <c r="B41">
        <v>32</v>
      </c>
      <c r="C41" t="s">
        <v>589</v>
      </c>
      <c r="D41">
        <v>42928900</v>
      </c>
      <c r="E41" s="108">
        <v>42005</v>
      </c>
      <c r="F41">
        <v>5.8999999999999999E-3</v>
      </c>
    </row>
    <row r="42" spans="2:6" x14ac:dyDescent="0.3">
      <c r="B42">
        <v>33</v>
      </c>
      <c r="C42" t="s">
        <v>590</v>
      </c>
      <c r="D42">
        <v>39500000</v>
      </c>
      <c r="E42" s="108">
        <v>42005</v>
      </c>
      <c r="F42">
        <v>5.4999999999999997E-3</v>
      </c>
    </row>
    <row r="43" spans="2:6" x14ac:dyDescent="0.3">
      <c r="B43">
        <v>34</v>
      </c>
      <c r="C43" t="s">
        <v>591</v>
      </c>
      <c r="D43">
        <v>38484000</v>
      </c>
      <c r="E43" s="108">
        <v>42004</v>
      </c>
      <c r="F43">
        <v>5.3E-3</v>
      </c>
    </row>
    <row r="44" spans="2:6" x14ac:dyDescent="0.3">
      <c r="B44">
        <v>35</v>
      </c>
      <c r="C44" t="s">
        <v>592</v>
      </c>
      <c r="D44">
        <v>38435252</v>
      </c>
      <c r="E44" s="108">
        <v>42186</v>
      </c>
      <c r="F44">
        <v>5.3E-3</v>
      </c>
    </row>
    <row r="45" spans="2:6" x14ac:dyDescent="0.3">
      <c r="B45">
        <v>36</v>
      </c>
      <c r="C45" t="s">
        <v>593</v>
      </c>
      <c r="D45">
        <v>36004552</v>
      </c>
      <c r="E45" s="108">
        <v>41821</v>
      </c>
      <c r="F45">
        <v>5.0000000000000001E-3</v>
      </c>
    </row>
    <row r="46" spans="2:6" x14ac:dyDescent="0.3">
      <c r="B46">
        <v>37</v>
      </c>
      <c r="C46" t="s">
        <v>594</v>
      </c>
      <c r="D46">
        <v>35675834</v>
      </c>
      <c r="E46" s="108">
        <v>41913</v>
      </c>
      <c r="F46">
        <v>4.8999999999999998E-3</v>
      </c>
    </row>
    <row r="47" spans="2:6" x14ac:dyDescent="0.3">
      <c r="B47">
        <v>38</v>
      </c>
      <c r="C47" t="s">
        <v>595</v>
      </c>
      <c r="D47">
        <v>34856813</v>
      </c>
      <c r="E47" s="108">
        <v>41879</v>
      </c>
      <c r="F47">
        <v>4.7999999999999996E-3</v>
      </c>
    </row>
    <row r="48" spans="2:6" x14ac:dyDescent="0.3">
      <c r="B48">
        <v>39</v>
      </c>
      <c r="C48" t="s">
        <v>596</v>
      </c>
      <c r="D48">
        <v>33543100</v>
      </c>
      <c r="E48" s="108">
        <v>42069</v>
      </c>
      <c r="F48">
        <v>4.64E-3</v>
      </c>
    </row>
    <row r="49" spans="2:6" x14ac:dyDescent="0.3">
      <c r="B49">
        <v>40</v>
      </c>
      <c r="C49" t="s">
        <v>597</v>
      </c>
      <c r="D49">
        <v>31521418</v>
      </c>
      <c r="E49" s="108">
        <v>42186</v>
      </c>
      <c r="F49">
        <v>4.4000000000000003E-3</v>
      </c>
    </row>
    <row r="50" spans="2:6" x14ac:dyDescent="0.3">
      <c r="B50">
        <v>41</v>
      </c>
      <c r="C50" t="s">
        <v>598</v>
      </c>
      <c r="D50">
        <v>31151643</v>
      </c>
      <c r="E50" s="108">
        <v>42186</v>
      </c>
      <c r="F50">
        <v>4.3E-3</v>
      </c>
    </row>
    <row r="51" spans="2:6" x14ac:dyDescent="0.3">
      <c r="B51">
        <v>42</v>
      </c>
      <c r="C51" t="s">
        <v>599</v>
      </c>
      <c r="D51">
        <v>30620404</v>
      </c>
      <c r="E51" s="108">
        <v>42186</v>
      </c>
      <c r="F51">
        <v>4.1999999999999997E-3</v>
      </c>
    </row>
    <row r="52" spans="2:6" x14ac:dyDescent="0.3">
      <c r="B52">
        <v>43</v>
      </c>
      <c r="C52" t="s">
        <v>600</v>
      </c>
      <c r="D52">
        <v>30511900</v>
      </c>
      <c r="E52" s="108">
        <v>42069</v>
      </c>
      <c r="F52">
        <v>4.2199999999999998E-3</v>
      </c>
    </row>
    <row r="53" spans="2:6" x14ac:dyDescent="0.3">
      <c r="B53">
        <v>44</v>
      </c>
      <c r="C53" t="s">
        <v>601</v>
      </c>
      <c r="D53">
        <v>30492800</v>
      </c>
      <c r="E53" s="108">
        <v>41640</v>
      </c>
      <c r="F53">
        <v>4.1999999999999997E-3</v>
      </c>
    </row>
    <row r="54" spans="2:6" x14ac:dyDescent="0.3">
      <c r="B54">
        <v>45</v>
      </c>
      <c r="C54" t="s">
        <v>602</v>
      </c>
      <c r="D54">
        <v>28037904</v>
      </c>
      <c r="E54" s="108">
        <v>42186</v>
      </c>
      <c r="F54">
        <v>3.8999999999999998E-3</v>
      </c>
    </row>
    <row r="55" spans="2:6" x14ac:dyDescent="0.3">
      <c r="B55">
        <v>46</v>
      </c>
      <c r="C55" t="s">
        <v>603</v>
      </c>
      <c r="D55">
        <v>27043093</v>
      </c>
      <c r="E55" s="108">
        <v>41821</v>
      </c>
      <c r="F55">
        <v>3.7000000000000002E-3</v>
      </c>
    </row>
    <row r="56" spans="2:6" x14ac:dyDescent="0.3">
      <c r="B56">
        <v>47</v>
      </c>
      <c r="C56" t="s">
        <v>604</v>
      </c>
      <c r="D56">
        <v>26556800</v>
      </c>
      <c r="E56" s="108">
        <v>41821</v>
      </c>
      <c r="F56">
        <v>3.7000000000000002E-3</v>
      </c>
    </row>
    <row r="57" spans="2:6" x14ac:dyDescent="0.3">
      <c r="B57">
        <v>48</v>
      </c>
      <c r="C57" t="s">
        <v>605</v>
      </c>
      <c r="D57">
        <v>25956000</v>
      </c>
      <c r="E57" s="108">
        <v>41821</v>
      </c>
      <c r="F57">
        <v>3.5999999999999999E-3</v>
      </c>
    </row>
    <row r="58" spans="2:6" x14ac:dyDescent="0.3">
      <c r="B58">
        <v>49</v>
      </c>
      <c r="C58" t="s">
        <v>606</v>
      </c>
      <c r="D58">
        <v>25727911</v>
      </c>
      <c r="E58" s="108">
        <v>42186</v>
      </c>
      <c r="F58">
        <v>3.5999999999999999E-3</v>
      </c>
    </row>
    <row r="59" spans="2:6" x14ac:dyDescent="0.3">
      <c r="B59">
        <v>50</v>
      </c>
      <c r="C59" t="s">
        <v>607</v>
      </c>
      <c r="D59">
        <v>25155000</v>
      </c>
      <c r="E59" s="108">
        <v>42186</v>
      </c>
      <c r="F59">
        <v>3.5000000000000001E-3</v>
      </c>
    </row>
    <row r="60" spans="2:6" x14ac:dyDescent="0.3">
      <c r="B60">
        <v>51</v>
      </c>
      <c r="C60" t="s">
        <v>608</v>
      </c>
      <c r="D60">
        <v>24383301</v>
      </c>
      <c r="E60" s="108">
        <v>41775</v>
      </c>
      <c r="F60">
        <v>3.3999999999999998E-3</v>
      </c>
    </row>
    <row r="61" spans="2:6" x14ac:dyDescent="0.3">
      <c r="B61">
        <v>52</v>
      </c>
      <c r="C61" t="s">
        <v>609</v>
      </c>
      <c r="D61">
        <v>23766500</v>
      </c>
      <c r="E61" s="108">
        <v>42069</v>
      </c>
      <c r="F61">
        <v>3.29E-3</v>
      </c>
    </row>
    <row r="62" spans="2:6" x14ac:dyDescent="0.3">
      <c r="B62">
        <v>53</v>
      </c>
      <c r="C62" t="s">
        <v>610</v>
      </c>
      <c r="D62">
        <v>23440278</v>
      </c>
      <c r="E62" s="108">
        <v>42035</v>
      </c>
      <c r="F62">
        <v>3.2000000000000002E-3</v>
      </c>
    </row>
    <row r="63" spans="2:6" x14ac:dyDescent="0.3">
      <c r="B63">
        <v>54</v>
      </c>
      <c r="C63" t="s">
        <v>611</v>
      </c>
      <c r="D63">
        <v>23087363</v>
      </c>
      <c r="E63" s="108">
        <v>42069</v>
      </c>
      <c r="F63">
        <v>3.2000000000000002E-3</v>
      </c>
    </row>
    <row r="64" spans="2:6" x14ac:dyDescent="0.3">
      <c r="B64">
        <v>55</v>
      </c>
      <c r="C64" t="s">
        <v>612</v>
      </c>
      <c r="D64">
        <v>22671331</v>
      </c>
      <c r="E64" s="108">
        <v>41774</v>
      </c>
      <c r="F64">
        <v>3.0999999999999999E-3</v>
      </c>
    </row>
    <row r="65" spans="2:6" x14ac:dyDescent="0.3">
      <c r="B65">
        <v>56</v>
      </c>
      <c r="C65" t="s">
        <v>613</v>
      </c>
      <c r="D65">
        <v>21842167</v>
      </c>
      <c r="E65" s="108">
        <v>41456</v>
      </c>
      <c r="F65">
        <v>3.0000000000000001E-3</v>
      </c>
    </row>
    <row r="66" spans="2:6" x14ac:dyDescent="0.3">
      <c r="B66">
        <v>57</v>
      </c>
      <c r="C66" t="s">
        <v>614</v>
      </c>
      <c r="D66">
        <v>21143237</v>
      </c>
      <c r="E66" s="108">
        <v>41456</v>
      </c>
      <c r="F66">
        <v>2.8E-3</v>
      </c>
    </row>
    <row r="67" spans="2:6" x14ac:dyDescent="0.3">
      <c r="B67">
        <v>58</v>
      </c>
      <c r="C67" t="s">
        <v>615</v>
      </c>
      <c r="D67">
        <v>20359439</v>
      </c>
      <c r="E67" s="108">
        <v>40987</v>
      </c>
      <c r="F67">
        <v>2.8E-3</v>
      </c>
    </row>
    <row r="68" spans="2:6" x14ac:dyDescent="0.3">
      <c r="B68">
        <v>59</v>
      </c>
      <c r="C68" t="s">
        <v>616</v>
      </c>
      <c r="D68">
        <v>19942642</v>
      </c>
      <c r="E68" s="108">
        <v>41640</v>
      </c>
      <c r="F68">
        <v>2.8E-3</v>
      </c>
    </row>
    <row r="69" spans="2:6" x14ac:dyDescent="0.3">
      <c r="B69">
        <v>60</v>
      </c>
      <c r="C69" t="s">
        <v>566</v>
      </c>
      <c r="D69">
        <v>19268000</v>
      </c>
      <c r="E69" s="108">
        <v>42186</v>
      </c>
      <c r="F69">
        <v>2.7000000000000001E-3</v>
      </c>
    </row>
    <row r="70" spans="2:6" x14ac:dyDescent="0.3">
      <c r="B70">
        <v>61</v>
      </c>
      <c r="C70" t="s">
        <v>617</v>
      </c>
      <c r="D70">
        <v>18450494</v>
      </c>
      <c r="E70" s="108">
        <v>42186</v>
      </c>
      <c r="F70">
        <v>2.5999999999999999E-3</v>
      </c>
    </row>
    <row r="71" spans="2:6" x14ac:dyDescent="0.3">
      <c r="B71">
        <v>62</v>
      </c>
      <c r="C71" t="s">
        <v>618</v>
      </c>
      <c r="D71">
        <v>18006407</v>
      </c>
      <c r="E71" s="108">
        <v>42186</v>
      </c>
      <c r="F71">
        <v>2.5000000000000001E-3</v>
      </c>
    </row>
    <row r="72" spans="2:6" x14ac:dyDescent="0.3">
      <c r="B72">
        <v>63</v>
      </c>
      <c r="C72" t="s">
        <v>619</v>
      </c>
      <c r="D72">
        <v>17417500</v>
      </c>
      <c r="E72" s="108">
        <v>42005</v>
      </c>
      <c r="F72">
        <v>2.3999999999999998E-3</v>
      </c>
    </row>
    <row r="73" spans="2:6" x14ac:dyDescent="0.3">
      <c r="B73">
        <v>64</v>
      </c>
      <c r="C73" t="s">
        <v>620</v>
      </c>
      <c r="D73">
        <v>16892500</v>
      </c>
      <c r="E73" s="108">
        <v>42069</v>
      </c>
      <c r="F73">
        <v>2.3400000000000001E-3</v>
      </c>
    </row>
    <row r="74" spans="2:6" x14ac:dyDescent="0.3">
      <c r="B74">
        <v>65</v>
      </c>
      <c r="C74" t="s">
        <v>600</v>
      </c>
      <c r="D74">
        <v>16310431</v>
      </c>
      <c r="E74" s="108">
        <v>42186</v>
      </c>
      <c r="F74">
        <v>2.3E-3</v>
      </c>
    </row>
    <row r="75" spans="2:6" x14ac:dyDescent="0.3">
      <c r="B75">
        <v>66</v>
      </c>
      <c r="C75" t="s">
        <v>621</v>
      </c>
      <c r="D75">
        <v>16259000</v>
      </c>
      <c r="E75" s="108">
        <v>42186</v>
      </c>
      <c r="F75">
        <v>2.2000000000000001E-3</v>
      </c>
    </row>
    <row r="76" spans="2:6" x14ac:dyDescent="0.3">
      <c r="B76">
        <v>67</v>
      </c>
      <c r="C76" t="s">
        <v>622</v>
      </c>
      <c r="D76">
        <v>15945200</v>
      </c>
      <c r="E76" s="108">
        <v>42069</v>
      </c>
      <c r="F76">
        <v>2.2000000000000001E-3</v>
      </c>
    </row>
    <row r="77" spans="2:6" x14ac:dyDescent="0.3">
      <c r="B77">
        <v>68</v>
      </c>
      <c r="C77" t="s">
        <v>623</v>
      </c>
      <c r="D77">
        <v>15806675</v>
      </c>
      <c r="E77" s="108">
        <v>41821</v>
      </c>
      <c r="F77">
        <v>2.2000000000000001E-3</v>
      </c>
    </row>
    <row r="78" spans="2:6" x14ac:dyDescent="0.3">
      <c r="B78">
        <v>69</v>
      </c>
      <c r="C78" t="s">
        <v>624</v>
      </c>
      <c r="D78">
        <v>15473905</v>
      </c>
      <c r="E78" s="108">
        <v>42186</v>
      </c>
      <c r="F78">
        <v>2.0999999999999999E-3</v>
      </c>
    </row>
    <row r="79" spans="2:6" x14ac:dyDescent="0.3">
      <c r="B79">
        <v>70</v>
      </c>
      <c r="C79" t="s">
        <v>625</v>
      </c>
      <c r="D79">
        <v>15405157</v>
      </c>
      <c r="E79" s="108">
        <v>42186</v>
      </c>
      <c r="F79">
        <v>2.0999999999999999E-3</v>
      </c>
    </row>
    <row r="80" spans="2:6" x14ac:dyDescent="0.3">
      <c r="B80">
        <v>71</v>
      </c>
      <c r="C80" t="s">
        <v>626</v>
      </c>
      <c r="D80">
        <v>13606000</v>
      </c>
      <c r="E80" s="108">
        <v>42186</v>
      </c>
      <c r="F80">
        <v>1.9E-3</v>
      </c>
    </row>
    <row r="81" spans="2:6" x14ac:dyDescent="0.3">
      <c r="B81">
        <v>72</v>
      </c>
      <c r="C81" t="s">
        <v>627</v>
      </c>
      <c r="D81">
        <v>13508715</v>
      </c>
      <c r="E81" s="108">
        <v>41597</v>
      </c>
      <c r="F81">
        <v>1.9E-3</v>
      </c>
    </row>
    <row r="82" spans="2:6" x14ac:dyDescent="0.3">
      <c r="B82">
        <v>73</v>
      </c>
      <c r="C82" t="s">
        <v>628</v>
      </c>
      <c r="D82">
        <v>13061239</v>
      </c>
      <c r="E82" s="108">
        <v>41138</v>
      </c>
      <c r="F82">
        <v>1.8E-3</v>
      </c>
    </row>
    <row r="83" spans="2:6" x14ac:dyDescent="0.3">
      <c r="B83">
        <v>74</v>
      </c>
      <c r="C83" t="s">
        <v>582</v>
      </c>
      <c r="D83">
        <v>11892934</v>
      </c>
      <c r="E83" s="108">
        <v>42186</v>
      </c>
      <c r="F83">
        <v>1.6000000000000001E-3</v>
      </c>
    </row>
    <row r="84" spans="2:6" x14ac:dyDescent="0.3">
      <c r="B84">
        <v>75</v>
      </c>
      <c r="C84" t="s">
        <v>629</v>
      </c>
      <c r="D84">
        <v>11410651</v>
      </c>
      <c r="E84" s="108">
        <v>42186</v>
      </c>
      <c r="F84">
        <v>1.6000000000000001E-3</v>
      </c>
    </row>
    <row r="85" spans="2:6" x14ac:dyDescent="0.3">
      <c r="B85">
        <v>76</v>
      </c>
      <c r="C85" t="s">
        <v>630</v>
      </c>
      <c r="D85">
        <v>11237160</v>
      </c>
      <c r="E85" s="108">
        <v>42005</v>
      </c>
      <c r="F85">
        <v>1.6000000000000001E-3</v>
      </c>
    </row>
    <row r="86" spans="2:6" x14ac:dyDescent="0.3">
      <c r="B86">
        <v>77</v>
      </c>
      <c r="C86" t="s">
        <v>631</v>
      </c>
      <c r="D86">
        <v>11210064</v>
      </c>
      <c r="E86" s="108">
        <v>41639</v>
      </c>
      <c r="F86">
        <v>1.6000000000000001E-3</v>
      </c>
    </row>
    <row r="87" spans="2:6" x14ac:dyDescent="0.3">
      <c r="B87">
        <v>78</v>
      </c>
      <c r="C87" t="s">
        <v>632</v>
      </c>
      <c r="D87">
        <v>11123000</v>
      </c>
      <c r="E87" s="108">
        <v>42186</v>
      </c>
      <c r="F87">
        <v>1.5E-3</v>
      </c>
    </row>
    <row r="88" spans="2:6" x14ac:dyDescent="0.3">
      <c r="B88">
        <v>79</v>
      </c>
      <c r="C88" t="s">
        <v>633</v>
      </c>
      <c r="D88">
        <v>10996891</v>
      </c>
      <c r="E88" s="108">
        <v>41821</v>
      </c>
      <c r="F88">
        <v>1.5E-3</v>
      </c>
    </row>
    <row r="89" spans="2:6" x14ac:dyDescent="0.3">
      <c r="B89">
        <v>80</v>
      </c>
      <c r="C89" t="s">
        <v>634</v>
      </c>
      <c r="D89">
        <v>10992589</v>
      </c>
      <c r="E89" s="108">
        <v>41640</v>
      </c>
      <c r="F89">
        <v>1.5E-3</v>
      </c>
    </row>
    <row r="90" spans="2:6" x14ac:dyDescent="0.3">
      <c r="B90">
        <v>81</v>
      </c>
      <c r="C90" t="s">
        <v>635</v>
      </c>
      <c r="D90">
        <v>10982754</v>
      </c>
      <c r="E90" s="108">
        <v>41752</v>
      </c>
      <c r="F90">
        <v>1.5E-3</v>
      </c>
    </row>
    <row r="91" spans="2:6" x14ac:dyDescent="0.3">
      <c r="B91">
        <v>82</v>
      </c>
      <c r="C91" t="s">
        <v>636</v>
      </c>
      <c r="D91">
        <v>10911819</v>
      </c>
      <c r="E91" s="108">
        <v>42186</v>
      </c>
      <c r="F91">
        <v>1.5E-3</v>
      </c>
    </row>
    <row r="92" spans="2:6" x14ac:dyDescent="0.3">
      <c r="B92">
        <v>83</v>
      </c>
      <c r="C92" t="s">
        <v>637</v>
      </c>
      <c r="D92">
        <v>10628972</v>
      </c>
      <c r="E92" s="108">
        <v>41731</v>
      </c>
      <c r="F92">
        <v>1.5E-3</v>
      </c>
    </row>
    <row r="93" spans="2:6" x14ac:dyDescent="0.3">
      <c r="B93">
        <v>84</v>
      </c>
      <c r="C93" t="s">
        <v>638</v>
      </c>
      <c r="D93">
        <v>10528477</v>
      </c>
      <c r="E93" s="108">
        <v>41912</v>
      </c>
      <c r="F93">
        <v>1.5E-3</v>
      </c>
    </row>
    <row r="94" spans="2:6" x14ac:dyDescent="0.3">
      <c r="B94">
        <v>85</v>
      </c>
      <c r="C94" t="s">
        <v>639</v>
      </c>
      <c r="D94">
        <v>10477800</v>
      </c>
      <c r="E94" s="108">
        <v>41639</v>
      </c>
      <c r="F94">
        <v>1.5E-3</v>
      </c>
    </row>
    <row r="95" spans="2:6" x14ac:dyDescent="0.3">
      <c r="B95">
        <v>86</v>
      </c>
      <c r="C95" t="s">
        <v>640</v>
      </c>
      <c r="D95">
        <v>10378267</v>
      </c>
      <c r="E95" s="108">
        <v>41821</v>
      </c>
      <c r="F95">
        <v>1.4E-3</v>
      </c>
    </row>
    <row r="96" spans="2:6" x14ac:dyDescent="0.3">
      <c r="B96">
        <v>87</v>
      </c>
      <c r="C96" t="s">
        <v>131</v>
      </c>
      <c r="D96">
        <v>10315244</v>
      </c>
      <c r="E96" s="108">
        <v>42186</v>
      </c>
      <c r="F96">
        <v>1.4E-3</v>
      </c>
    </row>
    <row r="97" spans="2:6" x14ac:dyDescent="0.3">
      <c r="B97">
        <v>88</v>
      </c>
      <c r="C97" t="s">
        <v>641</v>
      </c>
      <c r="D97">
        <v>9849000</v>
      </c>
      <c r="E97" s="108">
        <v>42004</v>
      </c>
      <c r="F97">
        <v>1.4E-3</v>
      </c>
    </row>
    <row r="98" spans="2:6" x14ac:dyDescent="0.3">
      <c r="B98">
        <v>89</v>
      </c>
      <c r="C98" t="s">
        <v>642</v>
      </c>
      <c r="D98">
        <v>9823827</v>
      </c>
      <c r="E98" s="108">
        <v>42186</v>
      </c>
      <c r="F98">
        <v>1.4E-3</v>
      </c>
    </row>
    <row r="99" spans="2:6" x14ac:dyDescent="0.3">
      <c r="B99">
        <v>90</v>
      </c>
      <c r="C99" t="s">
        <v>643</v>
      </c>
      <c r="D99">
        <v>9753627</v>
      </c>
      <c r="E99" s="108">
        <v>42035</v>
      </c>
      <c r="F99">
        <v>1.2999999999999999E-3</v>
      </c>
    </row>
    <row r="100" spans="2:6" x14ac:dyDescent="0.3">
      <c r="B100">
        <v>91</v>
      </c>
      <c r="C100" t="s">
        <v>644</v>
      </c>
      <c r="D100">
        <v>9593000</v>
      </c>
      <c r="E100" s="108">
        <v>42005</v>
      </c>
      <c r="F100">
        <v>1.2999999999999999E-3</v>
      </c>
    </row>
    <row r="101" spans="2:6" x14ac:dyDescent="0.3">
      <c r="B101">
        <v>92</v>
      </c>
      <c r="C101" t="s">
        <v>562</v>
      </c>
      <c r="D101">
        <v>9577000</v>
      </c>
      <c r="E101" s="108">
        <v>42186</v>
      </c>
      <c r="F101">
        <v>1.2999999999999999E-3</v>
      </c>
    </row>
    <row r="102" spans="2:6" x14ac:dyDescent="0.3">
      <c r="B102">
        <v>93</v>
      </c>
      <c r="C102" t="s">
        <v>645</v>
      </c>
      <c r="D102">
        <v>9481000</v>
      </c>
      <c r="E102" s="108">
        <v>42005</v>
      </c>
      <c r="F102">
        <v>1.2999999999999999E-3</v>
      </c>
    </row>
    <row r="103" spans="2:6" x14ac:dyDescent="0.3">
      <c r="B103">
        <v>94</v>
      </c>
      <c r="C103" t="s">
        <v>646</v>
      </c>
      <c r="D103">
        <v>8725111</v>
      </c>
      <c r="E103" s="108">
        <v>41821</v>
      </c>
      <c r="F103">
        <v>1.1999999999999999E-3</v>
      </c>
    </row>
    <row r="104" spans="2:6" x14ac:dyDescent="0.3">
      <c r="B104">
        <v>95</v>
      </c>
      <c r="C104" t="s">
        <v>609</v>
      </c>
      <c r="D104">
        <v>8579747</v>
      </c>
      <c r="E104" s="108">
        <v>42005</v>
      </c>
      <c r="F104">
        <v>1.1999999999999999E-3</v>
      </c>
    </row>
    <row r="105" spans="2:6" x14ac:dyDescent="0.3">
      <c r="B105">
        <v>96</v>
      </c>
      <c r="C105" t="s">
        <v>647</v>
      </c>
      <c r="D105">
        <v>8354000</v>
      </c>
      <c r="E105" s="108">
        <v>42005</v>
      </c>
      <c r="F105">
        <v>1.1999999999999999E-3</v>
      </c>
    </row>
    <row r="106" spans="2:6" x14ac:dyDescent="0.3">
      <c r="B106">
        <v>97</v>
      </c>
      <c r="C106" t="s">
        <v>648</v>
      </c>
      <c r="D106">
        <v>8309400</v>
      </c>
      <c r="E106" s="108">
        <v>42035</v>
      </c>
      <c r="F106">
        <v>1.1000000000000001E-3</v>
      </c>
    </row>
    <row r="107" spans="2:6" x14ac:dyDescent="0.3">
      <c r="B107">
        <v>98</v>
      </c>
      <c r="C107" t="s">
        <v>649</v>
      </c>
      <c r="D107">
        <v>8211700</v>
      </c>
      <c r="E107" s="108">
        <v>41912</v>
      </c>
      <c r="F107">
        <v>1.1000000000000001E-3</v>
      </c>
    </row>
    <row r="108" spans="2:6" x14ac:dyDescent="0.3">
      <c r="B108">
        <v>99</v>
      </c>
      <c r="C108" t="s">
        <v>650</v>
      </c>
      <c r="D108">
        <v>7398500</v>
      </c>
      <c r="E108" s="108">
        <v>41456</v>
      </c>
      <c r="F108">
        <v>1.0200000000000001E-3</v>
      </c>
    </row>
    <row r="109" spans="2:6" x14ac:dyDescent="0.3">
      <c r="B109">
        <v>100</v>
      </c>
      <c r="C109" t="s">
        <v>651</v>
      </c>
      <c r="D109">
        <v>7264100</v>
      </c>
      <c r="E109" s="108">
        <v>42004</v>
      </c>
      <c r="F109">
        <v>1E-3</v>
      </c>
    </row>
    <row r="110" spans="2:6" x14ac:dyDescent="0.3">
      <c r="B110">
        <v>101</v>
      </c>
      <c r="C110" t="s">
        <v>652</v>
      </c>
      <c r="D110">
        <v>7245677</v>
      </c>
      <c r="E110" s="108">
        <v>41639</v>
      </c>
      <c r="F110">
        <v>1E-3</v>
      </c>
    </row>
    <row r="111" spans="2:6" x14ac:dyDescent="0.3">
      <c r="B111">
        <v>102</v>
      </c>
      <c r="C111" t="s">
        <v>653</v>
      </c>
      <c r="D111">
        <v>7171000</v>
      </c>
      <c r="E111" s="108">
        <v>42186</v>
      </c>
      <c r="F111">
        <v>9.8999999999999999E-4</v>
      </c>
    </row>
    <row r="112" spans="2:6" x14ac:dyDescent="0.3">
      <c r="B112">
        <v>103</v>
      </c>
      <c r="C112" t="s">
        <v>654</v>
      </c>
      <c r="D112">
        <v>7146759</v>
      </c>
      <c r="E112" s="108">
        <v>41640</v>
      </c>
      <c r="F112">
        <v>9.8999999999999999E-4</v>
      </c>
    </row>
    <row r="113" spans="2:6" x14ac:dyDescent="0.3">
      <c r="B113">
        <v>104</v>
      </c>
      <c r="C113" t="s">
        <v>655</v>
      </c>
      <c r="D113">
        <v>7003406</v>
      </c>
      <c r="E113" s="108">
        <v>42005</v>
      </c>
      <c r="F113">
        <v>9.7000000000000005E-4</v>
      </c>
    </row>
    <row r="114" spans="2:6" x14ac:dyDescent="0.3">
      <c r="B114">
        <v>105</v>
      </c>
      <c r="C114" t="s">
        <v>656</v>
      </c>
      <c r="D114">
        <v>6802000</v>
      </c>
      <c r="E114" s="108">
        <v>42186</v>
      </c>
      <c r="F114">
        <v>9.3999999999999997E-4</v>
      </c>
    </row>
    <row r="115" spans="2:6" x14ac:dyDescent="0.3">
      <c r="B115">
        <v>106</v>
      </c>
      <c r="C115" t="s">
        <v>657</v>
      </c>
      <c r="D115">
        <v>6738000</v>
      </c>
      <c r="E115" s="108">
        <v>42186</v>
      </c>
      <c r="F115">
        <v>9.3000000000000005E-4</v>
      </c>
    </row>
    <row r="116" spans="2:6" x14ac:dyDescent="0.3">
      <c r="B116">
        <v>107</v>
      </c>
      <c r="C116" t="s">
        <v>658</v>
      </c>
      <c r="D116">
        <v>6698310</v>
      </c>
      <c r="E116" s="108">
        <v>42069</v>
      </c>
      <c r="F116">
        <v>9.2699999999999998E-4</v>
      </c>
    </row>
    <row r="117" spans="2:6" x14ac:dyDescent="0.3">
      <c r="B117">
        <v>108</v>
      </c>
      <c r="C117" t="s">
        <v>659</v>
      </c>
      <c r="D117">
        <v>6401240</v>
      </c>
      <c r="E117" s="108">
        <v>41640</v>
      </c>
      <c r="F117">
        <v>8.8999999999999995E-4</v>
      </c>
    </row>
    <row r="118" spans="2:6" x14ac:dyDescent="0.3">
      <c r="B118">
        <v>109</v>
      </c>
      <c r="C118" t="s">
        <v>660</v>
      </c>
      <c r="D118">
        <v>6319000</v>
      </c>
      <c r="E118" s="108">
        <v>42186</v>
      </c>
      <c r="F118">
        <v>8.7000000000000001E-4</v>
      </c>
    </row>
    <row r="119" spans="2:6" x14ac:dyDescent="0.3">
      <c r="B119">
        <v>110</v>
      </c>
      <c r="C119" t="s">
        <v>661</v>
      </c>
      <c r="D119">
        <v>6317000</v>
      </c>
      <c r="E119" s="108">
        <v>42186</v>
      </c>
      <c r="F119">
        <v>8.7000000000000001E-4</v>
      </c>
    </row>
    <row r="120" spans="2:6" x14ac:dyDescent="0.3">
      <c r="B120">
        <v>111</v>
      </c>
      <c r="C120" t="s">
        <v>662</v>
      </c>
      <c r="D120">
        <v>6134270</v>
      </c>
      <c r="E120" s="108">
        <v>41275</v>
      </c>
      <c r="F120">
        <v>8.4999999999999995E-4</v>
      </c>
    </row>
    <row r="121" spans="2:6" x14ac:dyDescent="0.3">
      <c r="B121">
        <v>112</v>
      </c>
      <c r="C121" t="s">
        <v>663</v>
      </c>
      <c r="D121">
        <v>5895100</v>
      </c>
      <c r="E121" s="108">
        <v>42005</v>
      </c>
      <c r="F121">
        <v>8.1999999999999998E-4</v>
      </c>
    </row>
    <row r="122" spans="2:6" x14ac:dyDescent="0.3">
      <c r="B122">
        <v>113</v>
      </c>
      <c r="C122" t="s">
        <v>664</v>
      </c>
      <c r="D122">
        <v>5659715</v>
      </c>
      <c r="E122" s="108">
        <v>42005</v>
      </c>
      <c r="F122">
        <v>7.7999999999999999E-4</v>
      </c>
    </row>
    <row r="123" spans="2:6" x14ac:dyDescent="0.3">
      <c r="B123">
        <v>114</v>
      </c>
      <c r="C123" t="s">
        <v>665</v>
      </c>
      <c r="D123">
        <v>5475526</v>
      </c>
      <c r="E123" s="108">
        <v>42036</v>
      </c>
      <c r="F123">
        <v>7.6000000000000004E-4</v>
      </c>
    </row>
    <row r="124" spans="2:6" x14ac:dyDescent="0.3">
      <c r="B124">
        <v>115</v>
      </c>
      <c r="C124" t="s">
        <v>666</v>
      </c>
      <c r="D124">
        <v>5469700</v>
      </c>
      <c r="E124" s="108">
        <v>41821</v>
      </c>
      <c r="F124">
        <v>7.6000000000000004E-4</v>
      </c>
    </row>
    <row r="125" spans="2:6" x14ac:dyDescent="0.3">
      <c r="B125">
        <v>116</v>
      </c>
      <c r="C125" t="s">
        <v>667</v>
      </c>
      <c r="D125">
        <v>5421034</v>
      </c>
      <c r="E125" s="108">
        <v>41912</v>
      </c>
      <c r="F125">
        <v>7.5000000000000002E-4</v>
      </c>
    </row>
    <row r="126" spans="2:6" x14ac:dyDescent="0.3">
      <c r="B126">
        <v>117</v>
      </c>
      <c r="C126" t="s">
        <v>668</v>
      </c>
      <c r="D126">
        <v>5165802</v>
      </c>
      <c r="E126" s="108">
        <v>42005</v>
      </c>
      <c r="F126">
        <v>7.1000000000000002E-4</v>
      </c>
    </row>
    <row r="127" spans="2:6" x14ac:dyDescent="0.3">
      <c r="B127">
        <v>118</v>
      </c>
      <c r="C127" t="s">
        <v>669</v>
      </c>
      <c r="D127">
        <v>4803000</v>
      </c>
      <c r="E127" s="108">
        <v>42186</v>
      </c>
      <c r="F127">
        <v>6.6E-4</v>
      </c>
    </row>
    <row r="128" spans="2:6" x14ac:dyDescent="0.3">
      <c r="B128">
        <v>119</v>
      </c>
      <c r="C128" t="s">
        <v>670</v>
      </c>
      <c r="D128">
        <v>4773130</v>
      </c>
      <c r="E128" s="108">
        <v>41820</v>
      </c>
      <c r="F128">
        <v>6.6E-4</v>
      </c>
    </row>
    <row r="129" spans="2:6" x14ac:dyDescent="0.3">
      <c r="B129">
        <v>120</v>
      </c>
      <c r="C129" t="s">
        <v>577</v>
      </c>
      <c r="D129">
        <v>4751120</v>
      </c>
      <c r="E129" s="108">
        <v>41270</v>
      </c>
      <c r="F129">
        <v>6.6E-4</v>
      </c>
    </row>
    <row r="130" spans="2:6" x14ac:dyDescent="0.3">
      <c r="B130">
        <v>121</v>
      </c>
      <c r="C130" t="s">
        <v>671</v>
      </c>
      <c r="D130">
        <v>4671000</v>
      </c>
      <c r="E130" s="108">
        <v>42186</v>
      </c>
      <c r="F130">
        <v>6.4999999999999997E-4</v>
      </c>
    </row>
    <row r="131" spans="2:6" x14ac:dyDescent="0.3">
      <c r="B131">
        <v>122</v>
      </c>
      <c r="C131" t="s">
        <v>672</v>
      </c>
      <c r="D131">
        <v>4609600</v>
      </c>
      <c r="E131" s="108">
        <v>41730</v>
      </c>
      <c r="F131">
        <v>6.4000000000000005E-4</v>
      </c>
    </row>
    <row r="132" spans="2:6" x14ac:dyDescent="0.3">
      <c r="B132">
        <v>123</v>
      </c>
      <c r="C132" t="s">
        <v>673</v>
      </c>
      <c r="D132">
        <v>4566220</v>
      </c>
      <c r="E132" s="108">
        <v>42069</v>
      </c>
      <c r="F132">
        <v>6.3199999999999997E-4</v>
      </c>
    </row>
    <row r="133" spans="2:6" x14ac:dyDescent="0.3">
      <c r="B133">
        <v>124</v>
      </c>
      <c r="C133" t="s">
        <v>674</v>
      </c>
      <c r="D133">
        <v>4550368</v>
      </c>
      <c r="E133" s="108">
        <v>41821</v>
      </c>
      <c r="F133">
        <v>6.3000000000000003E-4</v>
      </c>
    </row>
    <row r="134" spans="2:6" x14ac:dyDescent="0.3">
      <c r="B134">
        <v>125</v>
      </c>
      <c r="C134" t="s">
        <v>675</v>
      </c>
      <c r="D134">
        <v>4503000</v>
      </c>
      <c r="E134" s="108">
        <v>42186</v>
      </c>
      <c r="F134">
        <v>6.2E-4</v>
      </c>
    </row>
    <row r="135" spans="2:6" x14ac:dyDescent="0.3">
      <c r="B135">
        <v>126</v>
      </c>
      <c r="C135" t="s">
        <v>676</v>
      </c>
      <c r="D135">
        <v>4490500</v>
      </c>
      <c r="E135" s="108">
        <v>41640</v>
      </c>
      <c r="F135">
        <v>6.2E-4</v>
      </c>
    </row>
    <row r="136" spans="2:6" x14ac:dyDescent="0.3">
      <c r="B136">
        <v>127</v>
      </c>
      <c r="C136" t="s">
        <v>677</v>
      </c>
      <c r="D136">
        <v>4267558</v>
      </c>
      <c r="E136" s="108">
        <v>41091</v>
      </c>
      <c r="F136">
        <v>5.9000000000000003E-4</v>
      </c>
    </row>
    <row r="137" spans="2:6" x14ac:dyDescent="0.3">
      <c r="B137">
        <v>128</v>
      </c>
      <c r="C137" t="s">
        <v>678</v>
      </c>
      <c r="D137">
        <v>4130593</v>
      </c>
      <c r="E137" s="108">
        <v>42053</v>
      </c>
      <c r="F137">
        <v>5.6999999999999998E-4</v>
      </c>
    </row>
    <row r="138" spans="2:6" x14ac:dyDescent="0.3">
      <c r="B138">
        <v>129</v>
      </c>
      <c r="C138" t="s">
        <v>679</v>
      </c>
      <c r="D138">
        <v>4104000</v>
      </c>
      <c r="E138" s="108">
        <v>41091</v>
      </c>
      <c r="F138">
        <v>5.6999999999999998E-4</v>
      </c>
    </row>
    <row r="139" spans="2:6" x14ac:dyDescent="0.3">
      <c r="B139">
        <v>130</v>
      </c>
      <c r="C139" t="s">
        <v>680</v>
      </c>
      <c r="D139">
        <v>3791622</v>
      </c>
      <c r="E139" s="108">
        <v>41562</v>
      </c>
      <c r="F139">
        <v>5.1999999999999995E-4</v>
      </c>
    </row>
    <row r="140" spans="2:6" x14ac:dyDescent="0.3">
      <c r="B140">
        <v>131</v>
      </c>
      <c r="C140" t="s">
        <v>681</v>
      </c>
      <c r="D140">
        <v>3764166</v>
      </c>
      <c r="E140" s="108">
        <v>42186</v>
      </c>
      <c r="F140">
        <v>5.0000000000000001E-4</v>
      </c>
    </row>
    <row r="141" spans="2:6" x14ac:dyDescent="0.3">
      <c r="B141">
        <v>132</v>
      </c>
      <c r="C141" t="s">
        <v>682</v>
      </c>
      <c r="D141">
        <v>3631775</v>
      </c>
      <c r="E141" s="108">
        <v>42186</v>
      </c>
      <c r="F141">
        <v>5.0000000000000001E-4</v>
      </c>
    </row>
    <row r="142" spans="2:6" x14ac:dyDescent="0.3">
      <c r="B142">
        <v>133</v>
      </c>
      <c r="C142" t="s">
        <v>683</v>
      </c>
      <c r="D142">
        <v>3557600</v>
      </c>
      <c r="E142" s="108">
        <v>41640</v>
      </c>
      <c r="F142">
        <v>4.8999999999999998E-4</v>
      </c>
    </row>
    <row r="143" spans="2:6" x14ac:dyDescent="0.3">
      <c r="B143">
        <v>134</v>
      </c>
      <c r="C143" t="s">
        <v>684</v>
      </c>
      <c r="D143">
        <v>3548397</v>
      </c>
      <c r="E143" s="108">
        <v>41821</v>
      </c>
      <c r="F143">
        <v>4.8999999999999998E-4</v>
      </c>
    </row>
    <row r="144" spans="2:6" x14ac:dyDescent="0.3">
      <c r="B144">
        <v>135</v>
      </c>
      <c r="C144" t="s">
        <v>685</v>
      </c>
      <c r="D144">
        <v>3404189</v>
      </c>
      <c r="E144" s="108">
        <v>41820</v>
      </c>
      <c r="F144">
        <v>4.6999999999999999E-4</v>
      </c>
    </row>
    <row r="145" spans="2:6" x14ac:dyDescent="0.3">
      <c r="B145">
        <v>136</v>
      </c>
      <c r="C145" t="s">
        <v>686</v>
      </c>
      <c r="D145">
        <v>3268431</v>
      </c>
      <c r="E145" s="108">
        <v>41091</v>
      </c>
      <c r="F145">
        <v>4.4999999999999999E-4</v>
      </c>
    </row>
    <row r="146" spans="2:6" x14ac:dyDescent="0.3">
      <c r="B146">
        <v>137</v>
      </c>
      <c r="C146" t="s">
        <v>687</v>
      </c>
      <c r="D146">
        <v>3013900</v>
      </c>
      <c r="E146" s="108">
        <v>41912</v>
      </c>
      <c r="F146">
        <v>4.2000000000000002E-4</v>
      </c>
    </row>
    <row r="147" spans="2:6" x14ac:dyDescent="0.3">
      <c r="B147">
        <v>138</v>
      </c>
      <c r="C147" t="s">
        <v>688</v>
      </c>
      <c r="D147">
        <v>3000000</v>
      </c>
      <c r="E147" s="108">
        <v>42028</v>
      </c>
      <c r="F147">
        <v>4.0999999999999999E-4</v>
      </c>
    </row>
    <row r="148" spans="2:6" x14ac:dyDescent="0.3">
      <c r="B148">
        <v>139</v>
      </c>
      <c r="C148" t="s">
        <v>689</v>
      </c>
      <c r="D148">
        <v>2919306</v>
      </c>
      <c r="E148" s="108">
        <v>41671</v>
      </c>
      <c r="F148">
        <v>4.0000000000000002E-4</v>
      </c>
    </row>
    <row r="149" spans="2:6" x14ac:dyDescent="0.3">
      <c r="B149">
        <v>140</v>
      </c>
      <c r="C149" t="s">
        <v>690</v>
      </c>
      <c r="D149">
        <v>2893005</v>
      </c>
      <c r="E149" s="108">
        <v>42005</v>
      </c>
      <c r="F149">
        <v>4.0000000000000002E-4</v>
      </c>
    </row>
    <row r="150" spans="2:6" x14ac:dyDescent="0.3">
      <c r="B150">
        <v>141</v>
      </c>
      <c r="C150" t="s">
        <v>691</v>
      </c>
      <c r="D150">
        <v>2717991</v>
      </c>
      <c r="E150" s="108">
        <v>41639</v>
      </c>
      <c r="F150">
        <v>3.8000000000000002E-4</v>
      </c>
    </row>
    <row r="151" spans="2:6" x14ac:dyDescent="0.3">
      <c r="B151">
        <v>142</v>
      </c>
      <c r="C151" t="s">
        <v>692</v>
      </c>
      <c r="D151">
        <v>2334029</v>
      </c>
      <c r="E151" s="108">
        <v>42063</v>
      </c>
      <c r="F151">
        <v>3.2000000000000003E-4</v>
      </c>
    </row>
    <row r="152" spans="2:6" x14ac:dyDescent="0.3">
      <c r="B152">
        <v>143</v>
      </c>
      <c r="C152" t="s">
        <v>693</v>
      </c>
      <c r="D152">
        <v>2120000</v>
      </c>
      <c r="E152" s="108">
        <v>42186</v>
      </c>
      <c r="F152">
        <v>2.9E-4</v>
      </c>
    </row>
    <row r="153" spans="2:6" x14ac:dyDescent="0.3">
      <c r="B153">
        <v>144</v>
      </c>
      <c r="C153" t="s">
        <v>694</v>
      </c>
      <c r="D153">
        <v>2113077</v>
      </c>
      <c r="E153" s="108">
        <v>40783</v>
      </c>
      <c r="F153">
        <v>2.9E-4</v>
      </c>
    </row>
    <row r="154" spans="2:6" x14ac:dyDescent="0.3">
      <c r="B154">
        <v>145</v>
      </c>
      <c r="C154" t="s">
        <v>695</v>
      </c>
      <c r="D154">
        <v>2065769</v>
      </c>
      <c r="E154" s="108">
        <v>41639</v>
      </c>
      <c r="F154">
        <v>2.9E-4</v>
      </c>
    </row>
    <row r="155" spans="2:6" x14ac:dyDescent="0.3">
      <c r="B155">
        <v>146</v>
      </c>
      <c r="C155" t="s">
        <v>667</v>
      </c>
      <c r="D155">
        <v>2065857</v>
      </c>
      <c r="E155" s="108">
        <v>42069</v>
      </c>
      <c r="F155">
        <v>2.9E-4</v>
      </c>
    </row>
    <row r="156" spans="2:6" x14ac:dyDescent="0.3">
      <c r="B156">
        <v>147</v>
      </c>
      <c r="C156" t="s">
        <v>696</v>
      </c>
      <c r="D156">
        <v>2024904</v>
      </c>
      <c r="E156" s="108">
        <v>40777</v>
      </c>
      <c r="F156">
        <v>2.7999999999999998E-4</v>
      </c>
    </row>
    <row r="157" spans="2:6" x14ac:dyDescent="0.3">
      <c r="B157">
        <v>148</v>
      </c>
      <c r="C157" t="s">
        <v>697</v>
      </c>
      <c r="D157">
        <v>1986700</v>
      </c>
      <c r="E157" s="108">
        <v>42036</v>
      </c>
      <c r="F157">
        <v>2.7E-4</v>
      </c>
    </row>
    <row r="158" spans="2:6" x14ac:dyDescent="0.3">
      <c r="B158">
        <v>149</v>
      </c>
      <c r="C158" t="s">
        <v>698</v>
      </c>
      <c r="D158">
        <v>1882450</v>
      </c>
      <c r="E158" s="108">
        <v>41379</v>
      </c>
      <c r="F158">
        <v>2.5999999999999998E-4</v>
      </c>
    </row>
    <row r="159" spans="2:6" x14ac:dyDescent="0.3">
      <c r="B159">
        <v>150</v>
      </c>
      <c r="C159" t="s">
        <v>699</v>
      </c>
      <c r="D159">
        <v>1827231</v>
      </c>
      <c r="E159" s="108">
        <v>42005</v>
      </c>
      <c r="F159">
        <v>2.5000000000000001E-4</v>
      </c>
    </row>
    <row r="160" spans="2:6" x14ac:dyDescent="0.3">
      <c r="B160">
        <v>151</v>
      </c>
      <c r="C160" t="s">
        <v>637</v>
      </c>
      <c r="D160">
        <v>1788000</v>
      </c>
      <c r="E160" s="108">
        <v>42186</v>
      </c>
      <c r="F160">
        <v>2.5000000000000001E-4</v>
      </c>
    </row>
    <row r="161" spans="2:6" x14ac:dyDescent="0.3">
      <c r="B161">
        <v>152</v>
      </c>
      <c r="C161" t="s">
        <v>700</v>
      </c>
      <c r="D161">
        <v>1751000</v>
      </c>
      <c r="E161" s="108">
        <v>42186</v>
      </c>
      <c r="F161">
        <v>2.4000000000000001E-4</v>
      </c>
    </row>
    <row r="162" spans="2:6" x14ac:dyDescent="0.3">
      <c r="B162">
        <v>153</v>
      </c>
      <c r="C162" t="s">
        <v>701</v>
      </c>
      <c r="D162">
        <v>1430000</v>
      </c>
      <c r="E162" s="108">
        <v>41456</v>
      </c>
      <c r="F162">
        <v>2.0000000000000001E-4</v>
      </c>
    </row>
    <row r="163" spans="2:6" x14ac:dyDescent="0.3">
      <c r="B163">
        <v>154</v>
      </c>
      <c r="C163" t="s">
        <v>702</v>
      </c>
      <c r="D163">
        <v>1328019</v>
      </c>
      <c r="E163" s="108">
        <v>40552</v>
      </c>
      <c r="F163">
        <v>1.8000000000000001E-4</v>
      </c>
    </row>
    <row r="164" spans="2:6" x14ac:dyDescent="0.3">
      <c r="B164">
        <v>155</v>
      </c>
      <c r="C164" t="s">
        <v>703</v>
      </c>
      <c r="D164">
        <v>1316500</v>
      </c>
      <c r="E164" s="108">
        <v>41821</v>
      </c>
      <c r="F164">
        <v>1.8000000000000001E-4</v>
      </c>
    </row>
    <row r="165" spans="2:6" x14ac:dyDescent="0.3">
      <c r="B165">
        <v>156</v>
      </c>
      <c r="C165" t="s">
        <v>704</v>
      </c>
      <c r="D165">
        <v>1312252</v>
      </c>
      <c r="E165" s="108">
        <v>42005</v>
      </c>
      <c r="F165">
        <v>1.8000000000000001E-4</v>
      </c>
    </row>
    <row r="166" spans="2:6" x14ac:dyDescent="0.3">
      <c r="B166">
        <v>157</v>
      </c>
      <c r="C166" t="s">
        <v>682</v>
      </c>
      <c r="D166">
        <v>1261208</v>
      </c>
      <c r="E166" s="108">
        <v>41821</v>
      </c>
      <c r="F166">
        <v>1.7000000000000001E-4</v>
      </c>
    </row>
    <row r="167" spans="2:6" x14ac:dyDescent="0.3">
      <c r="B167">
        <v>158</v>
      </c>
      <c r="C167" t="s">
        <v>705</v>
      </c>
      <c r="D167">
        <v>1212107</v>
      </c>
      <c r="E167" s="108">
        <v>41821</v>
      </c>
      <c r="F167">
        <v>1.7000000000000001E-4</v>
      </c>
    </row>
    <row r="168" spans="2:6" x14ac:dyDescent="0.3">
      <c r="B168">
        <v>159</v>
      </c>
      <c r="C168" t="s">
        <v>706</v>
      </c>
      <c r="D168">
        <v>1119375</v>
      </c>
      <c r="E168" s="108">
        <v>42186</v>
      </c>
      <c r="F168">
        <v>1.4999999999999999E-4</v>
      </c>
    </row>
    <row r="169" spans="2:6" x14ac:dyDescent="0.3">
      <c r="B169">
        <v>160</v>
      </c>
      <c r="C169" t="s">
        <v>707</v>
      </c>
      <c r="D169">
        <v>900000</v>
      </c>
      <c r="E169" s="108">
        <v>42186</v>
      </c>
      <c r="F169">
        <v>1.2E-4</v>
      </c>
    </row>
    <row r="170" spans="2:6" x14ac:dyDescent="0.3">
      <c r="B170">
        <v>161</v>
      </c>
      <c r="C170" t="s">
        <v>708</v>
      </c>
      <c r="D170">
        <v>859178</v>
      </c>
      <c r="E170" s="108">
        <v>41456</v>
      </c>
      <c r="F170">
        <v>1.1900000000000001E-4</v>
      </c>
    </row>
    <row r="171" spans="2:6" x14ac:dyDescent="0.3">
      <c r="B171">
        <v>162</v>
      </c>
      <c r="C171" t="s">
        <v>709</v>
      </c>
      <c r="D171">
        <v>858000</v>
      </c>
      <c r="E171" s="108">
        <v>41640</v>
      </c>
      <c r="F171">
        <v>1.2E-4</v>
      </c>
    </row>
    <row r="172" spans="2:6" x14ac:dyDescent="0.3">
      <c r="B172">
        <v>163</v>
      </c>
      <c r="C172" t="s">
        <v>710</v>
      </c>
      <c r="D172">
        <v>844994</v>
      </c>
      <c r="E172" s="108">
        <v>41640</v>
      </c>
      <c r="F172">
        <v>1.2E-4</v>
      </c>
    </row>
    <row r="173" spans="2:6" x14ac:dyDescent="0.3">
      <c r="B173">
        <v>164</v>
      </c>
      <c r="C173" t="s">
        <v>711</v>
      </c>
      <c r="D173">
        <v>763952</v>
      </c>
      <c r="E173" s="108">
        <v>41821</v>
      </c>
      <c r="F173">
        <v>1.1E-4</v>
      </c>
    </row>
    <row r="174" spans="2:6" x14ac:dyDescent="0.3">
      <c r="B174">
        <v>165</v>
      </c>
      <c r="C174" t="s">
        <v>712</v>
      </c>
      <c r="D174">
        <v>757940</v>
      </c>
      <c r="E174" s="108">
        <v>42069</v>
      </c>
      <c r="F174">
        <v>1.05E-4</v>
      </c>
    </row>
    <row r="175" spans="2:6" x14ac:dyDescent="0.3">
      <c r="B175">
        <v>166</v>
      </c>
      <c r="C175" t="s">
        <v>713</v>
      </c>
      <c r="D175">
        <v>746900</v>
      </c>
      <c r="E175" s="108">
        <v>41456</v>
      </c>
      <c r="F175">
        <v>1E-4</v>
      </c>
    </row>
    <row r="176" spans="2:6" x14ac:dyDescent="0.3">
      <c r="B176">
        <v>167</v>
      </c>
      <c r="C176" t="s">
        <v>714</v>
      </c>
      <c r="D176">
        <v>631000</v>
      </c>
      <c r="E176" s="108">
        <v>41912</v>
      </c>
      <c r="F176">
        <v>8.7000000000000001E-5</v>
      </c>
    </row>
    <row r="177" spans="2:6" x14ac:dyDescent="0.3">
      <c r="B177">
        <v>168</v>
      </c>
      <c r="C177" t="s">
        <v>715</v>
      </c>
      <c r="D177">
        <v>620029</v>
      </c>
      <c r="E177" s="108">
        <v>40634</v>
      </c>
      <c r="F177">
        <v>8.6000000000000003E-5</v>
      </c>
    </row>
    <row r="178" spans="2:6" x14ac:dyDescent="0.3">
      <c r="B178">
        <v>169</v>
      </c>
      <c r="C178" t="s">
        <v>716</v>
      </c>
      <c r="D178">
        <v>604000</v>
      </c>
      <c r="E178" s="108">
        <v>42186</v>
      </c>
      <c r="F178">
        <v>8.3999999999999995E-5</v>
      </c>
    </row>
    <row r="179" spans="2:6" x14ac:dyDescent="0.3">
      <c r="B179">
        <v>170</v>
      </c>
      <c r="C179" t="s">
        <v>717</v>
      </c>
      <c r="D179">
        <v>581344</v>
      </c>
      <c r="E179" s="108">
        <v>41456</v>
      </c>
      <c r="F179">
        <v>8.0000000000000007E-5</v>
      </c>
    </row>
    <row r="180" spans="2:6" x14ac:dyDescent="0.3">
      <c r="B180">
        <v>171</v>
      </c>
      <c r="C180" t="s">
        <v>718</v>
      </c>
      <c r="D180">
        <v>549700</v>
      </c>
      <c r="E180" s="108">
        <v>41639</v>
      </c>
      <c r="F180">
        <v>7.3999999999999996E-5</v>
      </c>
    </row>
    <row r="181" spans="2:6" x14ac:dyDescent="0.3">
      <c r="B181">
        <v>172</v>
      </c>
      <c r="C181" t="s">
        <v>719</v>
      </c>
      <c r="D181">
        <v>534189</v>
      </c>
      <c r="E181" s="108">
        <v>41134</v>
      </c>
      <c r="F181">
        <v>7.3999999999999996E-5</v>
      </c>
    </row>
    <row r="182" spans="2:6" x14ac:dyDescent="0.3">
      <c r="B182">
        <v>173</v>
      </c>
      <c r="C182" t="s">
        <v>720</v>
      </c>
      <c r="D182">
        <v>518467</v>
      </c>
      <c r="E182" s="108">
        <v>41821</v>
      </c>
      <c r="F182">
        <v>7.2000000000000002E-5</v>
      </c>
    </row>
    <row r="183" spans="2:6" x14ac:dyDescent="0.3">
      <c r="B183">
        <v>174</v>
      </c>
      <c r="C183" t="s">
        <v>721</v>
      </c>
      <c r="D183">
        <v>505153</v>
      </c>
      <c r="E183" s="108">
        <v>41640</v>
      </c>
      <c r="F183">
        <v>6.9999999999999994E-5</v>
      </c>
    </row>
    <row r="184" spans="2:6" x14ac:dyDescent="0.3">
      <c r="B184">
        <v>175</v>
      </c>
      <c r="C184" t="s">
        <v>722</v>
      </c>
      <c r="D184">
        <v>425384</v>
      </c>
      <c r="E184" s="108">
        <v>41639</v>
      </c>
      <c r="F184">
        <v>5.8999999999999998E-5</v>
      </c>
    </row>
    <row r="185" spans="2:6" x14ac:dyDescent="0.3">
      <c r="B185">
        <v>176</v>
      </c>
      <c r="C185" t="s">
        <v>723</v>
      </c>
      <c r="D185">
        <v>405739</v>
      </c>
      <c r="E185" s="108">
        <v>41275</v>
      </c>
      <c r="F185">
        <v>5.5999999999999999E-5</v>
      </c>
    </row>
    <row r="186" spans="2:6" x14ac:dyDescent="0.3">
      <c r="B186">
        <v>177</v>
      </c>
      <c r="C186" t="s">
        <v>724</v>
      </c>
      <c r="D186">
        <v>393372</v>
      </c>
      <c r="E186" s="108">
        <v>40714</v>
      </c>
      <c r="F186">
        <v>5.3999999999999998E-5</v>
      </c>
    </row>
    <row r="187" spans="2:6" x14ac:dyDescent="0.3">
      <c r="B187">
        <v>178</v>
      </c>
      <c r="C187" t="s">
        <v>725</v>
      </c>
      <c r="D187">
        <v>386486</v>
      </c>
      <c r="E187" s="108">
        <v>41275</v>
      </c>
      <c r="F187">
        <v>5.3000000000000001E-5</v>
      </c>
    </row>
    <row r="188" spans="2:6" x14ac:dyDescent="0.3">
      <c r="B188">
        <v>179</v>
      </c>
      <c r="C188" t="s">
        <v>698</v>
      </c>
      <c r="D188">
        <v>368390</v>
      </c>
      <c r="E188" s="108">
        <v>41456</v>
      </c>
      <c r="F188">
        <v>5.1E-5</v>
      </c>
    </row>
    <row r="189" spans="2:6" x14ac:dyDescent="0.3">
      <c r="B189">
        <v>180</v>
      </c>
      <c r="C189" t="s">
        <v>726</v>
      </c>
      <c r="D189">
        <v>349728</v>
      </c>
      <c r="E189" s="108">
        <v>41456</v>
      </c>
      <c r="F189">
        <v>4.8000000000000001E-5</v>
      </c>
    </row>
    <row r="190" spans="2:6" x14ac:dyDescent="0.3">
      <c r="B190">
        <v>181</v>
      </c>
      <c r="C190" t="s">
        <v>727</v>
      </c>
      <c r="D190">
        <v>341256</v>
      </c>
      <c r="E190" s="108">
        <v>41902</v>
      </c>
      <c r="F190">
        <v>4.6999999999999997E-5</v>
      </c>
    </row>
    <row r="191" spans="2:6" x14ac:dyDescent="0.3">
      <c r="B191">
        <v>182</v>
      </c>
      <c r="C191" t="s">
        <v>728</v>
      </c>
      <c r="D191">
        <v>329040</v>
      </c>
      <c r="E191" s="108">
        <v>42004</v>
      </c>
      <c r="F191">
        <v>4.6E-5</v>
      </c>
    </row>
    <row r="192" spans="2:6" x14ac:dyDescent="0.3">
      <c r="B192">
        <v>183</v>
      </c>
      <c r="C192" t="s">
        <v>607</v>
      </c>
      <c r="D192">
        <v>294906</v>
      </c>
      <c r="E192" s="108">
        <v>38837</v>
      </c>
      <c r="F192">
        <v>4.0000000000000003E-5</v>
      </c>
    </row>
    <row r="193" spans="2:6" x14ac:dyDescent="0.3">
      <c r="B193">
        <v>184</v>
      </c>
      <c r="C193" t="s">
        <v>729</v>
      </c>
      <c r="D193">
        <v>285000</v>
      </c>
      <c r="E193" s="108">
        <v>41456</v>
      </c>
      <c r="F193">
        <v>3.8999999999999999E-5</v>
      </c>
    </row>
    <row r="194" spans="2:6" x14ac:dyDescent="0.3">
      <c r="B194">
        <v>185</v>
      </c>
      <c r="C194" t="s">
        <v>673</v>
      </c>
      <c r="D194">
        <v>268767</v>
      </c>
      <c r="E194" s="108">
        <v>41877</v>
      </c>
      <c r="F194">
        <v>3.6999999999999998E-5</v>
      </c>
    </row>
    <row r="195" spans="2:6" x14ac:dyDescent="0.3">
      <c r="B195">
        <v>186</v>
      </c>
      <c r="C195" t="s">
        <v>730</v>
      </c>
      <c r="D195">
        <v>268270</v>
      </c>
      <c r="E195" s="108">
        <v>41143</v>
      </c>
      <c r="F195">
        <v>3.6999999999999998E-5</v>
      </c>
    </row>
    <row r="196" spans="2:6" x14ac:dyDescent="0.3">
      <c r="B196">
        <v>187</v>
      </c>
      <c r="C196" t="s">
        <v>731</v>
      </c>
      <c r="D196">
        <v>264652</v>
      </c>
      <c r="E196" s="108">
        <v>41456</v>
      </c>
      <c r="F196">
        <v>3.6999999999999998E-5</v>
      </c>
    </row>
    <row r="197" spans="2:6" x14ac:dyDescent="0.3">
      <c r="B197">
        <v>188</v>
      </c>
      <c r="C197" t="s">
        <v>732</v>
      </c>
      <c r="D197">
        <v>240705</v>
      </c>
      <c r="E197" s="108">
        <v>40544</v>
      </c>
      <c r="F197">
        <v>3.3000000000000003E-5</v>
      </c>
    </row>
    <row r="198" spans="2:6" x14ac:dyDescent="0.3">
      <c r="B198">
        <v>189</v>
      </c>
      <c r="C198" t="s">
        <v>730</v>
      </c>
      <c r="D198">
        <v>239648</v>
      </c>
      <c r="E198" s="108">
        <v>40909</v>
      </c>
      <c r="F198">
        <v>3.3000000000000003E-5</v>
      </c>
    </row>
    <row r="199" spans="2:6" x14ac:dyDescent="0.3">
      <c r="B199">
        <v>190</v>
      </c>
      <c r="C199" t="s">
        <v>733</v>
      </c>
      <c r="D199">
        <v>212645</v>
      </c>
      <c r="E199" s="108">
        <v>41142</v>
      </c>
      <c r="F199">
        <v>2.9E-5</v>
      </c>
    </row>
    <row r="200" spans="2:6" x14ac:dyDescent="0.3">
      <c r="B200">
        <v>191</v>
      </c>
      <c r="C200" t="s">
        <v>734</v>
      </c>
      <c r="D200">
        <v>187820</v>
      </c>
      <c r="E200" s="108">
        <v>40854</v>
      </c>
      <c r="F200">
        <v>2.5999999999999998E-5</v>
      </c>
    </row>
    <row r="201" spans="2:6" x14ac:dyDescent="0.3">
      <c r="B201">
        <v>192</v>
      </c>
      <c r="C201" t="s">
        <v>735</v>
      </c>
      <c r="D201">
        <v>187356</v>
      </c>
      <c r="E201" s="108">
        <v>41042</v>
      </c>
      <c r="F201">
        <v>2.5999999999999998E-5</v>
      </c>
    </row>
    <row r="202" spans="2:6" x14ac:dyDescent="0.3">
      <c r="B202">
        <v>193</v>
      </c>
      <c r="C202" t="s">
        <v>736</v>
      </c>
      <c r="D202">
        <v>185000</v>
      </c>
      <c r="E202" s="108">
        <v>42186</v>
      </c>
      <c r="F202">
        <v>2.5999999999999998E-5</v>
      </c>
    </row>
    <row r="203" spans="2:6" x14ac:dyDescent="0.3">
      <c r="B203">
        <v>194</v>
      </c>
      <c r="C203" t="s">
        <v>737</v>
      </c>
      <c r="D203">
        <v>159358</v>
      </c>
      <c r="E203" s="108">
        <v>40269</v>
      </c>
      <c r="F203">
        <v>2.1999999999999999E-5</v>
      </c>
    </row>
    <row r="204" spans="2:6" x14ac:dyDescent="0.3">
      <c r="B204">
        <v>195</v>
      </c>
      <c r="C204" t="s">
        <v>738</v>
      </c>
      <c r="D204">
        <v>154843</v>
      </c>
      <c r="E204" s="108">
        <v>41640</v>
      </c>
      <c r="F204">
        <v>2.0999999999999999E-5</v>
      </c>
    </row>
    <row r="205" spans="2:6" x14ac:dyDescent="0.3">
      <c r="B205">
        <v>196</v>
      </c>
      <c r="C205" t="s">
        <v>736</v>
      </c>
      <c r="D205">
        <v>109000</v>
      </c>
      <c r="E205" s="108">
        <v>42186</v>
      </c>
      <c r="F205">
        <v>1.5E-5</v>
      </c>
    </row>
    <row r="206" spans="2:6" x14ac:dyDescent="0.3">
      <c r="B206">
        <v>197</v>
      </c>
      <c r="C206" t="s">
        <v>739</v>
      </c>
      <c r="D206">
        <v>107394</v>
      </c>
      <c r="E206" s="108">
        <v>41943</v>
      </c>
      <c r="F206">
        <v>1.5E-5</v>
      </c>
    </row>
    <row r="207" spans="2:6" x14ac:dyDescent="0.3">
      <c r="B207">
        <v>198</v>
      </c>
      <c r="C207" t="s">
        <v>740</v>
      </c>
      <c r="D207">
        <v>106461</v>
      </c>
      <c r="E207" s="108">
        <v>41456</v>
      </c>
      <c r="F207">
        <v>1.5E-5</v>
      </c>
    </row>
    <row r="208" spans="2:6" x14ac:dyDescent="0.3">
      <c r="B208">
        <v>199</v>
      </c>
      <c r="C208" t="s">
        <v>562</v>
      </c>
      <c r="D208">
        <v>106405</v>
      </c>
      <c r="E208" s="108">
        <v>40269</v>
      </c>
      <c r="F208">
        <v>1.5E-5</v>
      </c>
    </row>
    <row r="209" spans="2:6" x14ac:dyDescent="0.3">
      <c r="B209">
        <v>200</v>
      </c>
      <c r="C209" t="s">
        <v>741</v>
      </c>
      <c r="D209">
        <v>103328</v>
      </c>
      <c r="E209" s="108">
        <v>40675</v>
      </c>
      <c r="F209">
        <v>1.4E-5</v>
      </c>
    </row>
    <row r="210" spans="2:6" x14ac:dyDescent="0.3">
      <c r="B210">
        <v>201</v>
      </c>
      <c r="C210" t="s">
        <v>742</v>
      </c>
      <c r="D210">
        <v>103252</v>
      </c>
      <c r="E210" s="108">
        <v>40877</v>
      </c>
      <c r="F210">
        <v>1.4E-5</v>
      </c>
    </row>
    <row r="211" spans="2:6" x14ac:dyDescent="0.3">
      <c r="B211">
        <v>202</v>
      </c>
      <c r="C211" t="s">
        <v>743</v>
      </c>
      <c r="D211">
        <v>101351</v>
      </c>
      <c r="E211" s="108">
        <v>41456</v>
      </c>
      <c r="F211">
        <v>1.4E-5</v>
      </c>
    </row>
    <row r="212" spans="2:6" x14ac:dyDescent="0.3">
      <c r="B212">
        <v>203</v>
      </c>
      <c r="C212" t="s">
        <v>744</v>
      </c>
      <c r="D212">
        <v>99000</v>
      </c>
      <c r="E212" s="108">
        <v>41274</v>
      </c>
      <c r="F212">
        <v>1.4E-5</v>
      </c>
    </row>
    <row r="213" spans="2:6" x14ac:dyDescent="0.3">
      <c r="B213">
        <v>204</v>
      </c>
      <c r="C213" t="s">
        <v>745</v>
      </c>
      <c r="D213">
        <v>89949</v>
      </c>
      <c r="E213" s="108">
        <v>41456</v>
      </c>
      <c r="F213">
        <v>1.2E-5</v>
      </c>
    </row>
    <row r="214" spans="2:6" x14ac:dyDescent="0.3">
      <c r="B214">
        <v>205</v>
      </c>
      <c r="C214" t="s">
        <v>746</v>
      </c>
      <c r="D214">
        <v>86295</v>
      </c>
      <c r="E214" s="108">
        <v>40690</v>
      </c>
      <c r="F214">
        <v>1.2E-5</v>
      </c>
    </row>
    <row r="215" spans="2:6" x14ac:dyDescent="0.3">
      <c r="B215">
        <v>206</v>
      </c>
      <c r="C215" t="s">
        <v>747</v>
      </c>
      <c r="D215">
        <v>84497</v>
      </c>
      <c r="E215" s="108">
        <v>40629</v>
      </c>
      <c r="F215">
        <v>1.2E-5</v>
      </c>
    </row>
    <row r="216" spans="2:6" x14ac:dyDescent="0.3">
      <c r="B216">
        <v>207</v>
      </c>
      <c r="C216" t="s">
        <v>748</v>
      </c>
      <c r="D216">
        <v>76949</v>
      </c>
      <c r="E216" s="108">
        <v>41821</v>
      </c>
      <c r="F216">
        <v>1.1E-5</v>
      </c>
    </row>
    <row r="217" spans="2:6" x14ac:dyDescent="0.3">
      <c r="B217">
        <v>208</v>
      </c>
      <c r="C217" t="s">
        <v>640</v>
      </c>
      <c r="D217">
        <v>71293</v>
      </c>
      <c r="E217" s="108">
        <v>40677</v>
      </c>
      <c r="F217">
        <v>9.9000000000000001E-6</v>
      </c>
    </row>
    <row r="218" spans="2:6" x14ac:dyDescent="0.3">
      <c r="B218">
        <v>209</v>
      </c>
      <c r="C218" t="s">
        <v>749</v>
      </c>
      <c r="D218">
        <v>64237</v>
      </c>
      <c r="E218" s="108">
        <v>40318</v>
      </c>
      <c r="F218">
        <v>8.8999999999999995E-6</v>
      </c>
    </row>
    <row r="219" spans="2:6" x14ac:dyDescent="0.3">
      <c r="B219">
        <v>210</v>
      </c>
      <c r="C219" t="s">
        <v>750</v>
      </c>
      <c r="D219">
        <v>63085</v>
      </c>
      <c r="E219" s="108">
        <v>40999</v>
      </c>
      <c r="F219">
        <v>8.6999999999999997E-6</v>
      </c>
    </row>
    <row r="220" spans="2:6" x14ac:dyDescent="0.3">
      <c r="B220">
        <v>211</v>
      </c>
      <c r="C220" t="s">
        <v>751</v>
      </c>
      <c r="D220">
        <v>56086</v>
      </c>
      <c r="E220" s="108">
        <v>41456</v>
      </c>
      <c r="F220">
        <v>7.7999999999999999E-6</v>
      </c>
    </row>
    <row r="221" spans="2:6" x14ac:dyDescent="0.3">
      <c r="B221">
        <v>212</v>
      </c>
      <c r="C221" t="s">
        <v>634</v>
      </c>
      <c r="D221">
        <v>55984</v>
      </c>
      <c r="E221" s="108">
        <v>42005</v>
      </c>
      <c r="F221">
        <v>7.7000000000000008E-6</v>
      </c>
    </row>
    <row r="222" spans="2:6" x14ac:dyDescent="0.3">
      <c r="B222">
        <v>213</v>
      </c>
      <c r="C222" t="s">
        <v>752</v>
      </c>
      <c r="D222">
        <v>55691</v>
      </c>
      <c r="E222" s="108">
        <v>41275</v>
      </c>
      <c r="F222">
        <v>7.7000000000000008E-6</v>
      </c>
    </row>
    <row r="223" spans="2:6" x14ac:dyDescent="0.3">
      <c r="B223">
        <v>214</v>
      </c>
      <c r="C223" t="s">
        <v>753</v>
      </c>
      <c r="D223">
        <v>55519</v>
      </c>
      <c r="E223" s="108">
        <v>40269</v>
      </c>
      <c r="F223">
        <v>7.7000000000000008E-6</v>
      </c>
    </row>
    <row r="224" spans="2:6" x14ac:dyDescent="0.3">
      <c r="B224">
        <v>215</v>
      </c>
      <c r="C224" t="s">
        <v>736</v>
      </c>
      <c r="D224">
        <v>55000</v>
      </c>
      <c r="E224" s="108">
        <v>42186</v>
      </c>
      <c r="F224">
        <v>7.6000000000000001E-6</v>
      </c>
    </row>
    <row r="225" spans="2:6" x14ac:dyDescent="0.3">
      <c r="B225">
        <v>216</v>
      </c>
      <c r="C225" t="s">
        <v>607</v>
      </c>
      <c r="D225">
        <v>53883</v>
      </c>
      <c r="E225" s="108">
        <v>40269</v>
      </c>
      <c r="F225">
        <v>7.5000000000000002E-6</v>
      </c>
    </row>
    <row r="226" spans="2:6" x14ac:dyDescent="0.3">
      <c r="B226">
        <v>217</v>
      </c>
      <c r="C226" t="s">
        <v>582</v>
      </c>
      <c r="D226">
        <v>51547</v>
      </c>
      <c r="E226" s="108">
        <v>41275</v>
      </c>
      <c r="F226">
        <v>7.0999999999999998E-6</v>
      </c>
    </row>
    <row r="227" spans="2:6" x14ac:dyDescent="0.3">
      <c r="B227">
        <v>218</v>
      </c>
      <c r="C227" t="s">
        <v>754</v>
      </c>
      <c r="D227">
        <v>48679</v>
      </c>
      <c r="E227" s="108">
        <v>41974</v>
      </c>
      <c r="F227">
        <v>6.7000000000000002E-6</v>
      </c>
    </row>
    <row r="228" spans="2:6" x14ac:dyDescent="0.3">
      <c r="B228">
        <v>219</v>
      </c>
      <c r="C228" t="s">
        <v>755</v>
      </c>
      <c r="D228">
        <v>37429</v>
      </c>
      <c r="E228" s="108">
        <v>40179</v>
      </c>
      <c r="F228">
        <v>5.2000000000000002E-6</v>
      </c>
    </row>
    <row r="229" spans="2:6" x14ac:dyDescent="0.3">
      <c r="B229">
        <v>220</v>
      </c>
      <c r="C229" t="s">
        <v>756</v>
      </c>
      <c r="D229">
        <v>37132</v>
      </c>
      <c r="E229" s="108">
        <v>41639</v>
      </c>
      <c r="F229">
        <v>5.1000000000000003E-6</v>
      </c>
    </row>
    <row r="230" spans="2:6" x14ac:dyDescent="0.3">
      <c r="B230">
        <v>221</v>
      </c>
      <c r="C230" t="s">
        <v>757</v>
      </c>
      <c r="D230">
        <v>36950</v>
      </c>
      <c r="E230" s="108">
        <v>41639</v>
      </c>
      <c r="F230">
        <v>5.1000000000000003E-6</v>
      </c>
    </row>
    <row r="231" spans="2:6" x14ac:dyDescent="0.3">
      <c r="B231">
        <v>222</v>
      </c>
      <c r="C231" t="s">
        <v>758</v>
      </c>
      <c r="D231">
        <v>35742</v>
      </c>
      <c r="E231" s="108">
        <v>40909</v>
      </c>
      <c r="F231">
        <v>4.8999999999999997E-6</v>
      </c>
    </row>
    <row r="232" spans="2:6" x14ac:dyDescent="0.3">
      <c r="B232">
        <v>223</v>
      </c>
      <c r="C232" t="s">
        <v>759</v>
      </c>
      <c r="D232">
        <v>32789</v>
      </c>
      <c r="E232" s="108">
        <v>42004</v>
      </c>
      <c r="F232">
        <v>4.5000000000000001E-6</v>
      </c>
    </row>
    <row r="233" spans="2:6" x14ac:dyDescent="0.3">
      <c r="B233">
        <v>224</v>
      </c>
      <c r="C233" t="s">
        <v>577</v>
      </c>
      <c r="D233">
        <v>31458</v>
      </c>
      <c r="E233" s="108">
        <v>40933</v>
      </c>
      <c r="F233">
        <v>4.4000000000000002E-6</v>
      </c>
    </row>
    <row r="234" spans="2:6" x14ac:dyDescent="0.3">
      <c r="B234">
        <v>225</v>
      </c>
      <c r="C234" t="s">
        <v>760</v>
      </c>
      <c r="D234">
        <v>30001</v>
      </c>
      <c r="E234" s="108">
        <v>41274</v>
      </c>
      <c r="F234">
        <v>4.0999999999999997E-6</v>
      </c>
    </row>
    <row r="235" spans="2:6" x14ac:dyDescent="0.3">
      <c r="B235">
        <v>226</v>
      </c>
      <c r="C235" t="s">
        <v>761</v>
      </c>
      <c r="D235">
        <v>28875</v>
      </c>
      <c r="E235" s="108">
        <v>41912</v>
      </c>
      <c r="F235">
        <v>3.9999999999999998E-6</v>
      </c>
    </row>
    <row r="236" spans="2:6" x14ac:dyDescent="0.3">
      <c r="B236">
        <v>227</v>
      </c>
      <c r="C236" t="s">
        <v>762</v>
      </c>
      <c r="D236">
        <v>28054</v>
      </c>
      <c r="E236" s="108">
        <v>40371</v>
      </c>
      <c r="F236">
        <v>3.8999999999999999E-6</v>
      </c>
    </row>
    <row r="237" spans="2:6" x14ac:dyDescent="0.3">
      <c r="B237">
        <v>228</v>
      </c>
      <c r="C237" t="s">
        <v>763</v>
      </c>
      <c r="D237">
        <v>23296</v>
      </c>
      <c r="E237" s="108">
        <v>41275</v>
      </c>
      <c r="F237">
        <v>3.1999999999999999E-6</v>
      </c>
    </row>
    <row r="238" spans="2:6" x14ac:dyDescent="0.3">
      <c r="B238">
        <v>229</v>
      </c>
      <c r="C238" t="s">
        <v>764</v>
      </c>
      <c r="D238">
        <v>20901</v>
      </c>
      <c r="E238" s="108">
        <v>41456</v>
      </c>
      <c r="F238">
        <v>2.9000000000000002E-6</v>
      </c>
    </row>
    <row r="239" spans="2:6" x14ac:dyDescent="0.3">
      <c r="B239">
        <v>230</v>
      </c>
      <c r="C239" t="s">
        <v>765</v>
      </c>
      <c r="D239">
        <v>14974</v>
      </c>
      <c r="E239" s="108">
        <v>40878</v>
      </c>
      <c r="F239">
        <v>2.0999999999999998E-6</v>
      </c>
    </row>
    <row r="240" spans="2:6" x14ac:dyDescent="0.3">
      <c r="B240">
        <v>231</v>
      </c>
      <c r="C240" t="s">
        <v>766</v>
      </c>
      <c r="D240">
        <v>13452</v>
      </c>
      <c r="E240" s="108">
        <v>40674</v>
      </c>
      <c r="F240">
        <v>1.9E-6</v>
      </c>
    </row>
    <row r="241" spans="2:6" x14ac:dyDescent="0.3">
      <c r="B241">
        <v>232</v>
      </c>
      <c r="C241" t="s">
        <v>767</v>
      </c>
      <c r="D241">
        <v>13135</v>
      </c>
      <c r="E241" s="108">
        <v>41456</v>
      </c>
      <c r="F241">
        <v>1.7999999999999999E-6</v>
      </c>
    </row>
    <row r="242" spans="2:6" x14ac:dyDescent="0.3">
      <c r="B242">
        <v>233</v>
      </c>
      <c r="C242" t="s">
        <v>768</v>
      </c>
      <c r="D242">
        <v>11323</v>
      </c>
      <c r="E242" s="108">
        <v>41456</v>
      </c>
      <c r="F242">
        <v>1.5999999999999999E-6</v>
      </c>
    </row>
    <row r="243" spans="2:6" x14ac:dyDescent="0.3">
      <c r="B243">
        <v>234</v>
      </c>
      <c r="C243" t="s">
        <v>769</v>
      </c>
      <c r="D243">
        <v>10084</v>
      </c>
      <c r="E243" s="108">
        <v>40846</v>
      </c>
      <c r="F243">
        <v>1.3999999999999999E-6</v>
      </c>
    </row>
    <row r="244" spans="2:6" x14ac:dyDescent="0.3">
      <c r="B244">
        <v>235</v>
      </c>
      <c r="C244" t="s">
        <v>736</v>
      </c>
      <c r="D244">
        <v>9131</v>
      </c>
      <c r="E244" s="108">
        <v>40909</v>
      </c>
      <c r="F244">
        <v>1.3E-6</v>
      </c>
    </row>
    <row r="245" spans="2:6" x14ac:dyDescent="0.3">
      <c r="B245">
        <v>236</v>
      </c>
      <c r="C245" t="s">
        <v>736</v>
      </c>
      <c r="D245">
        <v>6069</v>
      </c>
      <c r="E245" s="108">
        <v>40909</v>
      </c>
      <c r="F245">
        <v>8.4E-7</v>
      </c>
    </row>
    <row r="246" spans="2:6" x14ac:dyDescent="0.3">
      <c r="B246">
        <v>237</v>
      </c>
      <c r="C246" t="s">
        <v>715</v>
      </c>
      <c r="D246">
        <v>4922</v>
      </c>
      <c r="E246" s="108">
        <v>40675</v>
      </c>
      <c r="F246">
        <v>6.7999999999999995E-7</v>
      </c>
    </row>
    <row r="247" spans="2:6" x14ac:dyDescent="0.3">
      <c r="B247">
        <v>238</v>
      </c>
      <c r="C247" t="s">
        <v>736</v>
      </c>
      <c r="D247">
        <v>4000</v>
      </c>
      <c r="E247" s="108">
        <v>42186</v>
      </c>
      <c r="F247">
        <v>5.5000000000000003E-7</v>
      </c>
    </row>
    <row r="248" spans="2:6" x14ac:dyDescent="0.3">
      <c r="B248">
        <v>239</v>
      </c>
      <c r="C248" t="s">
        <v>770</v>
      </c>
      <c r="D248">
        <v>3000</v>
      </c>
      <c r="E248" s="108">
        <v>42186</v>
      </c>
      <c r="F248">
        <v>4.0999999999999999E-7</v>
      </c>
    </row>
    <row r="249" spans="2:6" x14ac:dyDescent="0.3">
      <c r="B249">
        <v>240</v>
      </c>
      <c r="C249" t="s">
        <v>771</v>
      </c>
      <c r="D249">
        <v>2562</v>
      </c>
      <c r="E249" s="108">
        <v>41821</v>
      </c>
      <c r="F249">
        <v>3.7E-7</v>
      </c>
    </row>
    <row r="250" spans="2:6" x14ac:dyDescent="0.3">
      <c r="B250">
        <v>241</v>
      </c>
      <c r="C250" t="s">
        <v>772</v>
      </c>
      <c r="D250">
        <v>2302</v>
      </c>
      <c r="E250" s="108">
        <v>40764</v>
      </c>
      <c r="F250">
        <v>3.2000000000000001E-7</v>
      </c>
    </row>
    <row r="251" spans="2:6" x14ac:dyDescent="0.3">
      <c r="B251">
        <v>242</v>
      </c>
      <c r="C251" t="s">
        <v>773</v>
      </c>
      <c r="D251">
        <v>2072</v>
      </c>
      <c r="E251" s="108">
        <v>40764</v>
      </c>
      <c r="F251">
        <v>2.8999999999999998E-7</v>
      </c>
    </row>
    <row r="252" spans="2:6" x14ac:dyDescent="0.3">
      <c r="B252">
        <v>243</v>
      </c>
      <c r="C252" t="s">
        <v>774</v>
      </c>
      <c r="D252">
        <v>1613</v>
      </c>
      <c r="E252" s="108">
        <v>40796</v>
      </c>
      <c r="F252">
        <v>2.2000000000000001E-7</v>
      </c>
    </row>
    <row r="253" spans="2:6" x14ac:dyDescent="0.3">
      <c r="B253">
        <v>244</v>
      </c>
      <c r="C253" t="s">
        <v>775</v>
      </c>
      <c r="D253">
        <v>1411</v>
      </c>
      <c r="E253" s="108">
        <v>40834</v>
      </c>
      <c r="F253">
        <v>1.9999999999999999E-7</v>
      </c>
    </row>
    <row r="254" spans="2:6" x14ac:dyDescent="0.3">
      <c r="B254">
        <v>245</v>
      </c>
      <c r="C254" t="s">
        <v>776</v>
      </c>
      <c r="D254">
        <v>839</v>
      </c>
      <c r="E254" s="108">
        <v>41091</v>
      </c>
      <c r="F254">
        <v>1.1999999999999999E-7</v>
      </c>
    </row>
    <row r="255" spans="2:6" x14ac:dyDescent="0.3">
      <c r="B255">
        <v>246</v>
      </c>
      <c r="C255" t="s">
        <v>777</v>
      </c>
      <c r="D255">
        <v>550</v>
      </c>
      <c r="E255" s="108">
        <v>40764</v>
      </c>
      <c r="F255">
        <v>7.6000000000000006E-8</v>
      </c>
    </row>
    <row r="256" spans="2:6" x14ac:dyDescent="0.3">
      <c r="B256">
        <v>247</v>
      </c>
      <c r="C256" t="s">
        <v>778</v>
      </c>
      <c r="D256">
        <v>56</v>
      </c>
      <c r="E256" s="108">
        <v>41275</v>
      </c>
      <c r="F256">
        <v>7.6999999999999995E-9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AF2407-6F4B-4FC6-8FD9-2E2B928A5E90}">
  <sheetPr codeName="Sheet26"/>
  <dimension ref="A1:F23"/>
  <sheetViews>
    <sheetView tabSelected="1" topLeftCell="A2" workbookViewId="0">
      <selection activeCell="G12" sqref="G12"/>
    </sheetView>
  </sheetViews>
  <sheetFormatPr defaultRowHeight="14.4" x14ac:dyDescent="0.3"/>
  <cols>
    <col min="1" max="1" width="27.109375" customWidth="1"/>
    <col min="2" max="2" width="6" bestFit="1" customWidth="1"/>
    <col min="3" max="3" width="24.44140625" bestFit="1" customWidth="1"/>
    <col min="4" max="4" width="9.77734375" bestFit="1" customWidth="1"/>
  </cols>
  <sheetData>
    <row r="1" spans="1:6" ht="86.4" x14ac:dyDescent="0.3">
      <c r="A1" s="15" t="s">
        <v>779</v>
      </c>
      <c r="B1" s="15"/>
    </row>
    <row r="3" spans="1:6" x14ac:dyDescent="0.3">
      <c r="A3" t="s">
        <v>1</v>
      </c>
      <c r="B3" s="135" t="s">
        <v>860</v>
      </c>
      <c r="C3" s="135" t="s">
        <v>858</v>
      </c>
      <c r="D3" s="135" t="s">
        <v>859</v>
      </c>
      <c r="E3" s="135" t="s">
        <v>116</v>
      </c>
      <c r="F3" s="135" t="s">
        <v>152</v>
      </c>
    </row>
    <row r="4" spans="1:6" x14ac:dyDescent="0.3">
      <c r="B4" s="93">
        <v>1</v>
      </c>
      <c r="C4" s="136" t="s">
        <v>819</v>
      </c>
      <c r="D4" s="93" t="s">
        <v>820</v>
      </c>
      <c r="E4" s="93">
        <v>50000</v>
      </c>
      <c r="F4" s="93">
        <v>30</v>
      </c>
    </row>
    <row r="5" spans="1:6" x14ac:dyDescent="0.3">
      <c r="B5" s="93">
        <v>2</v>
      </c>
      <c r="C5" s="136" t="s">
        <v>821</v>
      </c>
      <c r="D5" s="93" t="s">
        <v>822</v>
      </c>
      <c r="E5" s="93">
        <v>60000</v>
      </c>
      <c r="F5" s="93">
        <v>35</v>
      </c>
    </row>
    <row r="6" spans="1:6" x14ac:dyDescent="0.3">
      <c r="B6" s="93">
        <v>3</v>
      </c>
      <c r="C6" s="136" t="s">
        <v>823</v>
      </c>
      <c r="D6" s="93" t="s">
        <v>824</v>
      </c>
      <c r="E6" s="93">
        <v>75000</v>
      </c>
      <c r="F6" s="93">
        <v>40</v>
      </c>
    </row>
    <row r="7" spans="1:6" x14ac:dyDescent="0.3">
      <c r="B7" s="93">
        <v>4</v>
      </c>
      <c r="C7" s="136" t="s">
        <v>825</v>
      </c>
      <c r="D7" s="93" t="s">
        <v>826</v>
      </c>
      <c r="E7" s="93">
        <v>55000</v>
      </c>
      <c r="F7" s="93">
        <v>28</v>
      </c>
    </row>
    <row r="8" spans="1:6" x14ac:dyDescent="0.3">
      <c r="B8" s="93">
        <v>5</v>
      </c>
      <c r="C8" s="136" t="s">
        <v>827</v>
      </c>
      <c r="D8" s="93" t="s">
        <v>828</v>
      </c>
      <c r="E8" s="93">
        <v>80000</v>
      </c>
      <c r="F8" s="93">
        <v>45</v>
      </c>
    </row>
    <row r="9" spans="1:6" x14ac:dyDescent="0.3">
      <c r="B9" s="93">
        <v>6</v>
      </c>
      <c r="C9" s="136" t="s">
        <v>829</v>
      </c>
      <c r="D9" s="93" t="s">
        <v>830</v>
      </c>
      <c r="E9" s="93">
        <v>65000</v>
      </c>
      <c r="F9" s="93">
        <v>33</v>
      </c>
    </row>
    <row r="10" spans="1:6" x14ac:dyDescent="0.3">
      <c r="B10" s="93">
        <v>7</v>
      </c>
      <c r="C10" s="136" t="s">
        <v>831</v>
      </c>
      <c r="D10" s="93" t="s">
        <v>832</v>
      </c>
      <c r="E10" s="93">
        <v>70000</v>
      </c>
      <c r="F10" s="93">
        <v>38</v>
      </c>
    </row>
    <row r="11" spans="1:6" x14ac:dyDescent="0.3">
      <c r="B11" s="93">
        <v>8</v>
      </c>
      <c r="C11" s="136" t="s">
        <v>833</v>
      </c>
      <c r="D11" s="93" t="s">
        <v>834</v>
      </c>
      <c r="E11" s="93">
        <v>60000</v>
      </c>
      <c r="F11" s="93">
        <v>32</v>
      </c>
    </row>
    <row r="12" spans="1:6" x14ac:dyDescent="0.3">
      <c r="B12" s="93">
        <v>9</v>
      </c>
      <c r="C12" s="136" t="s">
        <v>835</v>
      </c>
      <c r="D12" s="93" t="s">
        <v>836</v>
      </c>
      <c r="E12" s="93">
        <v>85000</v>
      </c>
      <c r="F12" s="93">
        <v>42</v>
      </c>
    </row>
    <row r="13" spans="1:6" x14ac:dyDescent="0.3">
      <c r="B13" s="93">
        <v>10</v>
      </c>
      <c r="C13" s="136" t="s">
        <v>837</v>
      </c>
      <c r="D13" s="93" t="s">
        <v>838</v>
      </c>
      <c r="E13" s="93">
        <v>70000</v>
      </c>
      <c r="F13" s="93">
        <v>36</v>
      </c>
    </row>
    <row r="14" spans="1:6" x14ac:dyDescent="0.3">
      <c r="B14" s="93">
        <v>11</v>
      </c>
      <c r="C14" s="136" t="s">
        <v>839</v>
      </c>
      <c r="D14" s="93" t="s">
        <v>840</v>
      </c>
      <c r="E14" s="93">
        <v>60000</v>
      </c>
      <c r="F14" s="93">
        <v>31</v>
      </c>
    </row>
    <row r="15" spans="1:6" x14ac:dyDescent="0.3">
      <c r="B15" s="93">
        <v>12</v>
      </c>
      <c r="C15" s="136" t="s">
        <v>841</v>
      </c>
      <c r="D15" s="93" t="s">
        <v>842</v>
      </c>
      <c r="E15" s="93">
        <v>55000</v>
      </c>
      <c r="F15" s="93">
        <v>29</v>
      </c>
    </row>
    <row r="16" spans="1:6" x14ac:dyDescent="0.3">
      <c r="B16" s="93">
        <v>13</v>
      </c>
      <c r="C16" s="136" t="s">
        <v>843</v>
      </c>
      <c r="D16" s="93" t="s">
        <v>822</v>
      </c>
      <c r="E16" s="93">
        <v>90000</v>
      </c>
      <c r="F16" s="93">
        <v>48</v>
      </c>
    </row>
    <row r="17" spans="2:6" x14ac:dyDescent="0.3">
      <c r="B17" s="93">
        <v>14</v>
      </c>
      <c r="C17" s="136" t="s">
        <v>844</v>
      </c>
      <c r="D17" s="93" t="s">
        <v>845</v>
      </c>
      <c r="E17" s="93">
        <v>65000</v>
      </c>
      <c r="F17" s="93">
        <v>34</v>
      </c>
    </row>
    <row r="18" spans="2:6" x14ac:dyDescent="0.3">
      <c r="B18" s="93">
        <v>15</v>
      </c>
      <c r="C18" s="136" t="s">
        <v>846</v>
      </c>
      <c r="D18" s="93" t="s">
        <v>847</v>
      </c>
      <c r="E18" s="93">
        <v>75000</v>
      </c>
      <c r="F18" s="93">
        <v>39</v>
      </c>
    </row>
    <row r="19" spans="2:6" x14ac:dyDescent="0.3">
      <c r="B19" s="93">
        <v>16</v>
      </c>
      <c r="C19" s="136" t="s">
        <v>848</v>
      </c>
      <c r="D19" s="93" t="s">
        <v>849</v>
      </c>
      <c r="E19" s="93">
        <v>70000</v>
      </c>
      <c r="F19" s="93">
        <v>37</v>
      </c>
    </row>
    <row r="20" spans="2:6" x14ac:dyDescent="0.3">
      <c r="B20" s="93">
        <v>17</v>
      </c>
      <c r="C20" s="136" t="s">
        <v>850</v>
      </c>
      <c r="D20" s="93" t="s">
        <v>851</v>
      </c>
      <c r="E20" s="93">
        <v>80000</v>
      </c>
      <c r="F20" s="93">
        <v>41</v>
      </c>
    </row>
    <row r="21" spans="2:6" x14ac:dyDescent="0.3">
      <c r="B21" s="93">
        <v>18</v>
      </c>
      <c r="C21" s="136" t="s">
        <v>852</v>
      </c>
      <c r="D21" s="93" t="s">
        <v>853</v>
      </c>
      <c r="E21" s="93">
        <v>60000</v>
      </c>
      <c r="F21" s="93">
        <v>33</v>
      </c>
    </row>
    <row r="22" spans="2:6" x14ac:dyDescent="0.3">
      <c r="B22" s="93">
        <v>19</v>
      </c>
      <c r="C22" s="136" t="s">
        <v>854</v>
      </c>
      <c r="D22" s="93" t="s">
        <v>855</v>
      </c>
      <c r="E22" s="93">
        <v>70000</v>
      </c>
      <c r="F22" s="93">
        <v>38</v>
      </c>
    </row>
    <row r="23" spans="2:6" x14ac:dyDescent="0.3">
      <c r="B23" s="93">
        <v>20</v>
      </c>
      <c r="C23" s="136" t="s">
        <v>856</v>
      </c>
      <c r="D23" s="93" t="s">
        <v>857</v>
      </c>
      <c r="E23" s="93">
        <v>65000</v>
      </c>
      <c r="F23" s="93">
        <v>35</v>
      </c>
    </row>
  </sheetData>
  <conditionalFormatting sqref="E4:E23">
    <cfRule type="cellIs" dxfId="0" priority="1" operator="greaterThan">
      <formula>74999</formula>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207A0E-F6BD-4FB8-A632-9FD87052245A}">
  <sheetPr codeName="Sheet25"/>
  <dimension ref="A1:H23"/>
  <sheetViews>
    <sheetView workbookViewId="0">
      <selection activeCell="I10" sqref="I10"/>
    </sheetView>
  </sheetViews>
  <sheetFormatPr defaultRowHeight="14.4" x14ac:dyDescent="0.3"/>
  <cols>
    <col min="1" max="1" width="58.109375" bestFit="1" customWidth="1"/>
    <col min="2" max="2" width="7.88671875" style="95" bestFit="1" customWidth="1"/>
    <col min="3" max="3" width="14.21875" bestFit="1" customWidth="1"/>
    <col min="4" max="4" width="14.88671875" bestFit="1" customWidth="1"/>
  </cols>
  <sheetData>
    <row r="1" spans="1:8" x14ac:dyDescent="0.3">
      <c r="A1" t="s">
        <v>782</v>
      </c>
    </row>
    <row r="2" spans="1:8" x14ac:dyDescent="0.3">
      <c r="A2" t="s">
        <v>780</v>
      </c>
    </row>
    <row r="3" spans="1:8" x14ac:dyDescent="0.3">
      <c r="A3" t="s">
        <v>781</v>
      </c>
    </row>
    <row r="5" spans="1:8" s="95" customFormat="1" x14ac:dyDescent="0.3">
      <c r="A5" s="95" t="s">
        <v>1</v>
      </c>
      <c r="B5" s="128" t="s">
        <v>783</v>
      </c>
      <c r="C5" s="128" t="s">
        <v>3</v>
      </c>
      <c r="D5" s="128" t="s">
        <v>784</v>
      </c>
      <c r="E5" s="128" t="s">
        <v>785</v>
      </c>
      <c r="F5" s="128" t="s">
        <v>786</v>
      </c>
      <c r="G5" s="128" t="s">
        <v>787</v>
      </c>
      <c r="H5" s="128" t="s">
        <v>818</v>
      </c>
    </row>
    <row r="6" spans="1:8" x14ac:dyDescent="0.3">
      <c r="B6" s="92">
        <v>11280</v>
      </c>
      <c r="C6" s="93" t="s">
        <v>788</v>
      </c>
      <c r="D6" s="93" t="s">
        <v>789</v>
      </c>
      <c r="E6" s="93">
        <v>15</v>
      </c>
      <c r="F6" s="93">
        <v>30000</v>
      </c>
      <c r="G6" s="93">
        <v>450000</v>
      </c>
      <c r="H6" s="93">
        <f>IF(E6&gt;20,G6*20/100,G6)</f>
        <v>450000</v>
      </c>
    </row>
    <row r="7" spans="1:8" x14ac:dyDescent="0.3">
      <c r="B7" s="92">
        <v>11281</v>
      </c>
      <c r="C7" s="93" t="s">
        <v>790</v>
      </c>
      <c r="D7" s="93" t="s">
        <v>791</v>
      </c>
      <c r="E7" s="93">
        <v>10</v>
      </c>
      <c r="F7" s="93">
        <v>25000</v>
      </c>
      <c r="G7" s="93">
        <v>250000</v>
      </c>
      <c r="H7" s="93">
        <f t="shared" ref="H7:H23" si="0">IF(E7&gt;20,G7*20/100,G7)</f>
        <v>250000</v>
      </c>
    </row>
    <row r="8" spans="1:8" x14ac:dyDescent="0.3">
      <c r="B8" s="92">
        <v>11282</v>
      </c>
      <c r="C8" s="93" t="s">
        <v>792</v>
      </c>
      <c r="D8" s="93" t="s">
        <v>793</v>
      </c>
      <c r="E8" s="93">
        <v>150</v>
      </c>
      <c r="F8" s="93">
        <v>28000</v>
      </c>
      <c r="G8" s="93">
        <v>4200000</v>
      </c>
      <c r="H8" s="93">
        <f t="shared" si="0"/>
        <v>840000</v>
      </c>
    </row>
    <row r="9" spans="1:8" x14ac:dyDescent="0.3">
      <c r="B9" s="92">
        <v>11283</v>
      </c>
      <c r="C9" s="93" t="s">
        <v>794</v>
      </c>
      <c r="D9" s="93" t="s">
        <v>795</v>
      </c>
      <c r="E9" s="93">
        <v>12</v>
      </c>
      <c r="F9" s="93">
        <v>30000</v>
      </c>
      <c r="G9" s="93">
        <v>360000</v>
      </c>
      <c r="H9" s="93">
        <f t="shared" si="0"/>
        <v>360000</v>
      </c>
    </row>
    <row r="10" spans="1:8" x14ac:dyDescent="0.3">
      <c r="B10" s="92">
        <v>11284</v>
      </c>
      <c r="C10" s="93" t="s">
        <v>796</v>
      </c>
      <c r="D10" s="93" t="s">
        <v>797</v>
      </c>
      <c r="E10" s="93">
        <v>20</v>
      </c>
      <c r="F10" s="93">
        <v>30000</v>
      </c>
      <c r="G10" s="93">
        <v>600000</v>
      </c>
      <c r="H10" s="93">
        <f t="shared" si="0"/>
        <v>600000</v>
      </c>
    </row>
    <row r="11" spans="1:8" x14ac:dyDescent="0.3">
      <c r="B11" s="92">
        <v>11285</v>
      </c>
      <c r="C11" s="93" t="s">
        <v>798</v>
      </c>
      <c r="D11" s="93" t="s">
        <v>799</v>
      </c>
      <c r="E11" s="93">
        <v>20</v>
      </c>
      <c r="F11" s="93">
        <v>26000</v>
      </c>
      <c r="G11" s="93">
        <v>520000</v>
      </c>
      <c r="H11" s="93">
        <f t="shared" si="0"/>
        <v>520000</v>
      </c>
    </row>
    <row r="12" spans="1:8" x14ac:dyDescent="0.3">
      <c r="B12" s="92">
        <v>11286</v>
      </c>
      <c r="C12" s="93" t="s">
        <v>800</v>
      </c>
      <c r="D12" s="93" t="s">
        <v>801</v>
      </c>
      <c r="E12" s="93">
        <v>2</v>
      </c>
      <c r="F12" s="93">
        <v>30000</v>
      </c>
      <c r="G12" s="93">
        <v>60000</v>
      </c>
      <c r="H12" s="93">
        <f t="shared" si="0"/>
        <v>60000</v>
      </c>
    </row>
    <row r="13" spans="1:8" x14ac:dyDescent="0.3">
      <c r="B13" s="92">
        <v>11287</v>
      </c>
      <c r="C13" s="93" t="s">
        <v>802</v>
      </c>
      <c r="D13" s="93" t="s">
        <v>803</v>
      </c>
      <c r="E13" s="93">
        <v>5</v>
      </c>
      <c r="F13" s="93">
        <v>35000</v>
      </c>
      <c r="G13" s="93">
        <v>175000</v>
      </c>
      <c r="H13" s="93">
        <f t="shared" si="0"/>
        <v>175000</v>
      </c>
    </row>
    <row r="14" spans="1:8" x14ac:dyDescent="0.3">
      <c r="B14" s="92">
        <v>11288</v>
      </c>
      <c r="C14" s="93" t="s">
        <v>804</v>
      </c>
      <c r="D14" s="93" t="s">
        <v>805</v>
      </c>
      <c r="E14" s="93">
        <v>80</v>
      </c>
      <c r="F14" s="93">
        <v>30000</v>
      </c>
      <c r="G14" s="93">
        <v>2400000</v>
      </c>
      <c r="H14" s="93">
        <f t="shared" si="0"/>
        <v>480000</v>
      </c>
    </row>
    <row r="15" spans="1:8" x14ac:dyDescent="0.3">
      <c r="B15" s="92">
        <v>11289</v>
      </c>
      <c r="C15" s="93" t="s">
        <v>806</v>
      </c>
      <c r="D15" s="93" t="s">
        <v>807</v>
      </c>
      <c r="E15" s="93">
        <v>100</v>
      </c>
      <c r="F15" s="93">
        <v>26000</v>
      </c>
      <c r="G15" s="93">
        <v>2600000</v>
      </c>
      <c r="H15" s="93">
        <f t="shared" si="0"/>
        <v>520000</v>
      </c>
    </row>
    <row r="16" spans="1:8" x14ac:dyDescent="0.3">
      <c r="B16" s="92">
        <v>11290</v>
      </c>
      <c r="C16" s="93" t="s">
        <v>808</v>
      </c>
      <c r="D16" s="93" t="s">
        <v>809</v>
      </c>
      <c r="E16" s="93">
        <v>20</v>
      </c>
      <c r="F16" s="93">
        <v>35000</v>
      </c>
      <c r="G16" s="93">
        <v>700000</v>
      </c>
      <c r="H16" s="93">
        <f t="shared" si="0"/>
        <v>700000</v>
      </c>
    </row>
    <row r="17" spans="2:8" x14ac:dyDescent="0.3">
      <c r="B17" s="92">
        <v>11291</v>
      </c>
      <c r="C17" s="93" t="s">
        <v>810</v>
      </c>
      <c r="D17" s="93" t="s">
        <v>811</v>
      </c>
      <c r="E17" s="93">
        <v>25</v>
      </c>
      <c r="F17" s="93">
        <v>40000</v>
      </c>
      <c r="G17" s="93">
        <v>1000000</v>
      </c>
      <c r="H17" s="93">
        <f t="shared" si="0"/>
        <v>200000</v>
      </c>
    </row>
    <row r="18" spans="2:8" x14ac:dyDescent="0.3">
      <c r="B18" s="92">
        <v>11292</v>
      </c>
      <c r="C18" s="93" t="s">
        <v>812</v>
      </c>
      <c r="D18" s="93" t="s">
        <v>793</v>
      </c>
      <c r="E18" s="93">
        <v>10</v>
      </c>
      <c r="F18" s="93">
        <v>28000</v>
      </c>
      <c r="G18" s="93">
        <v>280000</v>
      </c>
      <c r="H18" s="93">
        <f t="shared" si="0"/>
        <v>280000</v>
      </c>
    </row>
    <row r="19" spans="2:8" x14ac:dyDescent="0.3">
      <c r="B19" s="92">
        <v>11293</v>
      </c>
      <c r="C19" s="93" t="s">
        <v>813</v>
      </c>
      <c r="D19" s="93" t="s">
        <v>795</v>
      </c>
      <c r="E19" s="93">
        <v>10</v>
      </c>
      <c r="F19" s="93">
        <v>30000</v>
      </c>
      <c r="G19" s="93">
        <v>300000</v>
      </c>
      <c r="H19" s="93">
        <f t="shared" si="0"/>
        <v>300000</v>
      </c>
    </row>
    <row r="20" spans="2:8" x14ac:dyDescent="0.3">
      <c r="B20" s="92">
        <v>11294</v>
      </c>
      <c r="C20" s="93" t="s">
        <v>814</v>
      </c>
      <c r="D20" s="93" t="s">
        <v>797</v>
      </c>
      <c r="E20" s="93">
        <v>5</v>
      </c>
      <c r="F20" s="93">
        <v>30000</v>
      </c>
      <c r="G20" s="93">
        <v>150000</v>
      </c>
      <c r="H20" s="93">
        <f t="shared" si="0"/>
        <v>150000</v>
      </c>
    </row>
    <row r="21" spans="2:8" x14ac:dyDescent="0.3">
      <c r="B21" s="92">
        <v>11295</v>
      </c>
      <c r="C21" s="93" t="s">
        <v>815</v>
      </c>
      <c r="D21" s="93" t="s">
        <v>799</v>
      </c>
      <c r="E21" s="93">
        <v>180</v>
      </c>
      <c r="F21" s="93">
        <v>26000</v>
      </c>
      <c r="G21" s="93">
        <v>4680000</v>
      </c>
      <c r="H21" s="93">
        <f t="shared" si="0"/>
        <v>936000</v>
      </c>
    </row>
    <row r="22" spans="2:8" x14ac:dyDescent="0.3">
      <c r="B22" s="92">
        <v>11296</v>
      </c>
      <c r="C22" s="93" t="s">
        <v>816</v>
      </c>
      <c r="D22" s="93" t="s">
        <v>801</v>
      </c>
      <c r="E22" s="93">
        <v>5</v>
      </c>
      <c r="F22" s="93">
        <v>30000</v>
      </c>
      <c r="G22" s="93">
        <v>150000</v>
      </c>
      <c r="H22" s="93">
        <f t="shared" si="0"/>
        <v>150000</v>
      </c>
    </row>
    <row r="23" spans="2:8" x14ac:dyDescent="0.3">
      <c r="B23" s="92">
        <v>11297</v>
      </c>
      <c r="C23" s="93" t="s">
        <v>817</v>
      </c>
      <c r="D23" s="93" t="s">
        <v>803</v>
      </c>
      <c r="E23" s="93">
        <v>250</v>
      </c>
      <c r="F23" s="93">
        <v>35000</v>
      </c>
      <c r="G23" s="93">
        <v>8750000</v>
      </c>
      <c r="H23" s="93">
        <f t="shared" si="0"/>
        <v>1750000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1E28BB9-206F-4A27-873D-4820C26900F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Que_1</vt:lpstr>
      <vt:lpstr>Que_2</vt:lpstr>
      <vt:lpstr>Que_3&amp;4</vt:lpstr>
      <vt:lpstr>Que_5</vt:lpstr>
      <vt:lpstr>Que_6</vt:lpstr>
      <vt:lpstr>Que_7</vt:lpstr>
      <vt:lpstr>Que_8</vt:lpstr>
      <vt:lpstr>Que_9</vt:lpstr>
      <vt:lpstr>Que_10&amp;11</vt:lpstr>
      <vt:lpstr>Que_12</vt:lpstr>
      <vt:lpstr>Que_13</vt:lpstr>
      <vt:lpstr>Que_14</vt:lpstr>
      <vt:lpstr>Que_15</vt:lpstr>
      <vt:lpstr>Que_16</vt:lpstr>
      <vt:lpstr>Que_17</vt:lpstr>
      <vt:lpstr>Que_18</vt:lpstr>
      <vt:lpstr>Que_19&amp;20</vt:lpstr>
      <vt:lpstr>Que_21</vt:lpstr>
      <vt:lpstr>Que_22</vt:lpstr>
      <vt:lpstr>Que_23</vt:lpstr>
      <vt:lpstr>Que_24</vt:lpstr>
      <vt:lpstr>Que_25</vt:lpstr>
      <vt:lpstr>Que_26</vt:lpstr>
      <vt:lpstr>Que_27</vt:lpstr>
      <vt:lpstr>Que_30</vt:lpstr>
      <vt:lpstr>Que_31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Aastha Hattimare</dc:creator>
  <cp:lastModifiedBy>Aastha Hattimare</cp:lastModifiedBy>
  <dcterms:created xsi:type="dcterms:W3CDTF">2025-01-28T04:49:19Z</dcterms:created>
  <dcterms:modified xsi:type="dcterms:W3CDTF">2025-02-07T09:23:01Z</dcterms:modified>
</cp:coreProperties>
</file>